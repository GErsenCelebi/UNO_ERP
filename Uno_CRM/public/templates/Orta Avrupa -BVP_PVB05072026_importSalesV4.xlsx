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4e1ab097344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ded770aa340d7995cbabdc0391412.psmdcp" Id="Rd33e08cb30a1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calcChain.xml><?xml version="1.0" encoding="utf-8"?>
<x:calcChain xmlns:x="http://schemas.openxmlformats.org/spreadsheetml/2006/main">
  <x:c r="B11" i="1"/>
  <x:c r="C11" i="1"/>
  <x:c r="D11" i="1"/>
  <x:c r="B12" i="1"/>
  <x:c r="C12" i="1"/>
  <x:c r="D12" i="1"/>
</x:calcChain>
</file>

<file path=xl/sharedStrings.xml><?xml version="1.0" encoding="utf-8"?>
<x:sst xmlns:x="http://schemas.openxmlformats.org/spreadsheetml/2006/main">
  <x:si>
    <x:t>Dates</x:t>
  </x:si>
  <x:si>
    <x:t>06.07.2026</x:t>
  </x:si>
  <x:si>
    <x:t>08.07.2026</x:t>
  </x:si>
  <x:si>
    <x:t>10.07.2026</x:t>
  </x:si>
  <x:si>
    <x:t>Prices</x:t>
  </x:si>
  <x:si>
    <x:t>Code</x:t>
  </x:si>
  <x:si>
    <x:t>PRG-CASTLE</x:t>
  </x:si>
  <x:si>
    <x:t>BUD-CRUISE</x:t>
  </x:si>
  <x:si>
    <x:t>VIE-SCHONBRUNN</x:t>
  </x:si>
  <x:si>
    <x:t>Passenger Name</x:t>
  </x:si>
  <x:si>
    <x:t>Prague Castle Guided Tour</x:t>
  </x:si>
  <x:si>
    <x:t>Budapest Danube Dinner Cruise</x:t>
  </x:si>
  <x:si>
    <x:t>Schönbrunn Palace Tour</x:t>
  </x:si>
  <x:si>
    <x:t>Ahmet Yılmaz</x:t>
  </x:si>
  <x:si>
    <x:t>☑</x:t>
  </x:si>
  <x:si>
    <x:t>☐</x:t>
  </x:si>
  <x:si>
    <x:t>Ayşe Yılmaz</x:t>
  </x:si>
  <x:si>
    <x:t>Mehmet Kaya</x:t>
  </x:si>
  <x:si>
    <x:t>Fatma Kaya</x:t>
  </x:si>
  <x:si>
    <x:t>Can Kaya (CHD)</x:t>
  </x:si>
  <x:si>
    <x:t>Count</x:t>
  </x:si>
  <x:si>
    <x:t>Total Amount</x:t>
  </x:si>
  <x:si>
    <x:t>Base Service</x:t>
  </x:si>
  <x:si>
    <x:t>Revenue</x:t>
  </x:si>
  <x:si>
    <x:t>Expense</x:t>
  </x:si>
  <x:si>
    <x:t>Other</x:t>
  </x:si>
  <x:si>
    <x:t>per/Pax</x:t>
  </x:si>
  <x:si>
    <x:t>UnitPrice</x:t>
  </x:si>
  <x:si>
    <x:t>Adult</x:t>
  </x:si>
  <x:si>
    <x:t>Children</x:t>
  </x:si>
  <x:si>
    <x:t>Infant</x:t>
  </x:si>
  <x:si>
    <x:t>Total</x:t>
  </x:si>
  <x:si>
    <x:t>Agency Fee</x:t>
  </x:si>
  <x:si>
    <x:t>CityTax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</x:si>
</x:sst>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15.710625" style="0" customWidth="1"/>
    <x:col min="2" max="2" width="24.710625" style="0" customWidth="1"/>
    <x:col min="3" max="3" width="29.567768" style="0" customWidth="1"/>
    <x:col min="4" max="4" width="22.996339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 s="1" customFormat="1">
      <x:c r="A2" s="1" t="s">
        <x:v>4</x:v>
      </x:c>
      <x:c r="B2" s="1">
        <x:v>25</x:v>
      </x:c>
      <x:c r="C2" s="1">
        <x:v>45</x:v>
      </x:c>
      <x:c r="D2" s="1">
        <x:v>35</x:v>
      </x:c>
    </x:row>
    <x:row r="3" spans="1:4" s="1" customFormat="1">
      <x:c r="A3" s="1" t="s">
        <x:v>5</x:v>
      </x:c>
      <x:c r="B3" s="1" t="s">
        <x:v>6</x:v>
      </x:c>
      <x:c r="C3" s="1" t="s">
        <x:v>7</x:v>
      </x:c>
      <x:c r="D3" s="1" t="s">
        <x:v>8</x:v>
      </x:c>
    </x:row>
    <x:row r="4" spans="1:4" s="1" customFormat="1">
      <x:c r="A4" s="1" t="s">
        <x:v>9</x:v>
      </x:c>
      <x:c r="B4" s="1" t="s">
        <x:v>10</x:v>
      </x:c>
      <x:c r="C4" s="1" t="s">
        <x:v>11</x:v>
      </x:c>
      <x:c r="D4" s="1" t="s">
        <x:v>12</x:v>
      </x:c>
    </x:row>
    <x:row r="5" spans="1:4">
      <x:c r="A5" s="0" t="s">
        <x:v>13</x:v>
      </x:c>
      <x:c r="B5" s="2" t="s">
        <x:v>14</x:v>
      </x:c>
      <x:c r="C5" s="2" t="s">
        <x:v>14</x:v>
      </x:c>
      <x:c r="D5" s="2" t="s">
        <x:v>15</x:v>
      </x:c>
    </x:row>
    <x:row r="6" spans="1:4">
      <x:c r="A6" s="0" t="s">
        <x:v>16</x:v>
      </x:c>
      <x:c r="B6" s="2" t="s">
        <x:v>14</x:v>
      </x:c>
      <x:c r="C6" s="2" t="s">
        <x:v>14</x:v>
      </x:c>
      <x:c r="D6" s="2" t="s">
        <x:v>15</x:v>
      </x:c>
    </x:row>
    <x:row r="7" spans="1:4">
      <x:c r="A7" s="0" t="s">
        <x:v>17</x:v>
      </x:c>
      <x:c r="B7" s="2" t="s">
        <x:v>15</x:v>
      </x:c>
      <x:c r="C7" s="2" t="s">
        <x:v>14</x:v>
      </x:c>
      <x:c r="D7" s="2" t="s">
        <x:v>14</x:v>
      </x:c>
    </x:row>
    <x:row r="8" spans="1:4">
      <x:c r="A8" s="0" t="s">
        <x:v>18</x:v>
      </x:c>
      <x:c r="B8" s="2" t="s">
        <x:v>15</x:v>
      </x:c>
      <x:c r="C8" s="2" t="s">
        <x:v>14</x:v>
      </x:c>
      <x:c r="D8" s="2" t="s">
        <x:v>14</x:v>
      </x:c>
    </x:row>
    <x:row r="9" spans="1:4">
      <x:c r="A9" s="3" t="s">
        <x:v>19</x:v>
      </x:c>
      <x:c r="B9" s="4" t="s">
        <x:v>15</x:v>
      </x:c>
      <x:c r="C9" s="4" t="s">
        <x:v>14</x:v>
      </x:c>
      <x:c r="D9" s="4" t="s">
        <x:v>14</x:v>
      </x:c>
    </x:row>
    <x:row r="11" spans="1:4">
      <x:c r="A11" s="1" t="s">
        <x:v>20</x:v>
      </x:c>
      <x:c r="B11" s="5">
        <x:f>COUNTIF(B5:B9, "☑") + COUNTIF(B5:B9, TRUE)</x:f>
      </x:c>
      <x:c r="C11" s="5">
        <x:f>COUNTIF(C5:C9, "☑") + COUNTIF(C5:C9, TRUE)</x:f>
      </x:c>
      <x:c r="D11" s="5">
        <x:f>COUNTIF(D5:D9, "☑") + COUNTIF(D5:D9, TRUE)</x:f>
      </x:c>
    </x:row>
    <x:row r="12" spans="1:4">
      <x:c r="A12" s="1" t="s">
        <x:v>21</x:v>
      </x:c>
      <x:c r="B12" s="5">
        <x:f>B11*B2</x:f>
      </x:c>
      <x:c r="C12" s="5">
        <x:f>C11*C2</x:f>
      </x:c>
      <x:c r="D12" s="5">
        <x:f>D11*D2</x:f>
      </x:c>
    </x:row>
  </x:sheetData>
  <x:dataValidations count="1">
    <x:dataValidation type="list" errorStyle="stop" operator="between" allowBlank="1" showDropDown="0" showInputMessage="1" showErrorMessage="1" errorTitle="" error="" promptTitle="" prompt="" sqref="B5:D9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710625" style="0" customWidth="1"/>
    <x:col min="2" max="2" width="8.710625" style="0" customWidth="1"/>
    <x:col min="3" max="3" width="8.282054" style="0" customWidth="1"/>
    <x:col min="4" max="4" width="5.996339" style="0" customWidth="1"/>
    <x:col min="5" max="5" width="7.996339" style="0" customWidth="1"/>
    <x:col min="6" max="6" width="8.996339" style="0" customWidth="1"/>
    <x:col min="7" max="7" width="5.567768" style="0" customWidth="1"/>
    <x:col min="8" max="8" width="8.424911" style="0" customWidth="1"/>
    <x:col min="9" max="9" width="6.139196" style="0" customWidth="1"/>
    <x:col min="10" max="10" width="5.282054" style="0" customWidth="1"/>
  </x:cols>
  <x:sheetData>
    <x:row r="1" spans="1:10" s="1" customFormat="1">
      <x:c r="A1" s="1" t="s">
        <x:v>22</x:v>
      </x:c>
      <x:c r="B1" s="1" t="s">
        <x:v>23</x:v>
      </x:c>
      <x:c r="C1" s="1" t="s">
        <x:v>24</x:v>
      </x:c>
      <x:c r="D1" s="1" t="s">
        <x:v>25</x:v>
      </x:c>
      <x:c r="E1" s="1" t="s">
        <x:v>26</x:v>
      </x:c>
      <x:c r="F1" s="1" t="s">
        <x:v>27</x:v>
      </x:c>
      <x:c r="G1" s="1" t="s">
        <x:v>28</x:v>
      </x:c>
      <x:c r="H1" s="1" t="s">
        <x:v>29</x:v>
      </x:c>
      <x:c r="I1" s="1" t="s">
        <x:v>30</x:v>
      </x:c>
      <x:c r="J1" s="1" t="s">
        <x:v>31</x:v>
      </x:c>
    </x:row>
    <x:row r="2" spans="1:10">
      <x:c r="A2" s="0" t="s">
        <x:v>32</x:v>
      </x:c>
      <x:c r="B2" s="0" t="s">
        <x:v>14</x:v>
      </x:c>
      <x:c r="C2" s="0" t="s">
        <x:v>15</x:v>
      </x:c>
      <x:c r="D2" s="0" t="s">
        <x:v>15</x:v>
      </x:c>
      <x:c r="E2" s="0" t="s">
        <x:v>14</x:v>
      </x:c>
      <x:c r="F2" s="0">
        <x:v>250</x:v>
      </x:c>
      <x:c r="G2" s="0">
        <x:v>27</x:v>
      </x:c>
      <x:c r="H2" s="0">
        <x:v>2</x:v>
      </x:c>
      <x:c r="I2" s="0">
        <x:v>1</x:v>
      </x:c>
      <x:c r="J2" s="0">
        <x:v>7000</x:v>
      </x:c>
    </x:row>
    <x:row r="3" spans="1:10">
      <x:c r="A3" s="0" t="s">
        <x:v>33</x:v>
      </x:c>
      <x:c r="B3" s="0" t="s">
        <x:v>15</x:v>
      </x:c>
      <x:c r="C3" s="0" t="s">
        <x:v>14</x:v>
      </x:c>
      <x:c r="D3" s="0" t="s">
        <x:v>15</x:v>
      </x:c>
      <x:c r="E3" s="0" t="s">
        <x:v>14</x:v>
      </x:c>
      <x:c r="F3" s="0">
        <x:v>2.5</x:v>
      </x:c>
      <x:c r="G3" s="0">
        <x:v>27</x:v>
      </x:c>
      <x:c r="H3" s="0">
        <x:v>2</x:v>
      </x:c>
      <x:c r="I3" s="0">
        <x:v>0</x:v>
      </x:c>
      <x:c r="J3" s="0">
        <x:v>435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E10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