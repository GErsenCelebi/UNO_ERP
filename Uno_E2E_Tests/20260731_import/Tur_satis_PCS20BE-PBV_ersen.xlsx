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44ec0a6d2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Katilim" sheetId="1" r:id="R5fcee2146cad42d5"/>
    <x:sheet xmlns:r="http://schemas.openxmlformats.org/officeDocument/2006/relationships" name="Oteller" sheetId="2" r:id="Rf3fea094cce34c04"/>
    <x:sheet xmlns:r="http://schemas.openxmlformats.org/officeDocument/2006/relationships" name="Track" sheetId="3" r:id="R0f5d98ed710948db"/>
    <x:sheet xmlns:r="http://schemas.openxmlformats.org/officeDocument/2006/relationships" name="Harcamalar" sheetId="4" r:id="Rf34582901a8b43c7"/>
    <x:sheet xmlns:r="http://schemas.openxmlformats.org/officeDocument/2006/relationships" name="SatisOzet" sheetId="5" r:id="R1306bcbb387f41da"/>
    <x:sheet xmlns:r="http://schemas.openxmlformats.org/officeDocument/2006/relationships" name="Hesap" sheetId="6" r:id="R60f49e4f2a0c4301"/>
    <x:sheet xmlns:r="http://schemas.openxmlformats.org/officeDocument/2006/relationships" name="Satislistesi" sheetId="7" r:id="R98511f7850564695"/>
  </x:sheets>
</x:workbook>
</file>

<file path=xl/sharedStrings.xml><?xml version="1.0" encoding="utf-8"?>
<x:sst xmlns:x="http://schemas.openxmlformats.org/spreadsheetml/2006/main">
  <x:si>
    <x:t xml:space="preserve">EURO</x:t>
  </x:si>
  <x:si>
    <x:t xml:space="preserve">Isim Soyad</x:t>
  </x:si>
  <x:si>
    <x:t xml:space="preserve">1-Dresden</x:t>
  </x:si>
  <x:si>
    <x:t xml:space="preserve">2-Tekne</x:t>
  </x:si>
  <x:si>
    <x:t xml:space="preserve">3-KV</x:t>
  </x:si>
  <x:si>
    <x:t xml:space="preserve">4-Cek G.</x:t>
  </x:si>
  <x:si>
    <x:t xml:space="preserve">5-Tuna Tt</x:t>
  </x:si>
  <x:si>
    <x:t xml:space="preserve">6-Estergom </x:t>
  </x:si>
  <x:si>
    <x:t xml:space="preserve">7-Cigan</x:t>
  </x:si>
  <x:si>
    <x:t xml:space="preserve">8-Bratislava</x:t>
  </x:si>
  <x:si>
    <x:t xml:space="preserve">9-HallStatt</x:t>
  </x:si>
  <x:si>
    <x:t xml:space="preserve">g. meyh</x:t>
  </x:si>
  <x:si>
    <x:t xml:space="preserve">10-Konser</x:t>
  </x:si>
  <x:si>
    <x:t xml:space="preserve">AYSUNUYGUN</x:t>
  </x:si>
  <x:si>
    <x:t xml:space="preserve">Mehmet BarışAltun</x:t>
  </x:si>
  <x:si>
    <x:t xml:space="preserve">TugbaAltun</x:t>
  </x:si>
  <x:si>
    <x:t xml:space="preserve">Gül CananFettahlıoğlu</x:t>
  </x:si>
  <x:si>
    <x:t xml:space="preserve">Ramazan YaşarFettahlıoğlu</x:t>
  </x:si>
  <x:si>
    <x:t xml:space="preserve">860 eu</x:t>
  </x:si>
  <x:si>
    <x:t xml:space="preserve">Samiye NurFettahlıoğlu</x:t>
  </x:si>
  <x:si>
    <x:t xml:space="preserve">Abdullah CemFettahlıoğlu</x:t>
  </x:si>
  <x:si>
    <x:t xml:space="preserve">VacideSever</x:t>
  </x:si>
  <x:si>
    <x:t xml:space="preserve">MetinMutlu</x:t>
  </x:si>
  <x:si>
    <x:t xml:space="preserve">İBRAHİM HALİLERTAN</x:t>
  </x:si>
  <x:si>
    <x:t xml:space="preserve">TUBAERTAN</x:t>
  </x:si>
  <x:si>
    <x:t xml:space="preserve">BÜŞRA NEVİNERTAN</x:t>
  </x:si>
  <x:si>
    <x:t xml:space="preserve">HATİCEKUŞ KARAKURT</x:t>
  </x:si>
  <x:si>
    <x:t xml:space="preserve">ALPTEKİNKARAKURT</x:t>
  </x:si>
  <x:si>
    <x:t xml:space="preserve">ASYA BALIMKARAKURT</x:t>
  </x:si>
  <x:si>
    <x:t xml:space="preserve">DAMLAKİREMİTCİ</x:t>
  </x:si>
  <x:si>
    <x:t xml:space="preserve">ALTANKİREMİTCİ</x:t>
  </x:si>
  <x:si>
    <x:t xml:space="preserve">ARYAKİREMİTCİ</x:t>
  </x:si>
  <x:si>
    <x:t xml:space="preserve">EMİNEDUZ</x:t>
  </x:si>
  <x:si>
    <x:t xml:space="preserve">AYLİZKOCABAŞ</x:t>
  </x:si>
  <x:si>
    <x:t xml:space="preserve">MERVEKOCABAŞ</x:t>
  </x:si>
  <x:si>
    <x:t xml:space="preserve">BerkanKaya</x:t>
  </x:si>
  <x:si>
    <x:t xml:space="preserve">SENEMKAYA</x:t>
  </x:si>
  <x:si>
    <x:t xml:space="preserve">MECİTUYGUN</x:t>
  </x:si>
  <x:si>
    <x:t xml:space="preserve">ASİYEUYGUN</x:t>
  </x:si>
  <x:si>
    <x:t xml:space="preserve">DEMİRUYGUN</x:t>
  </x:si>
  <x:si>
    <x:t xml:space="preserve">BARIŞUYGUN</x:t>
  </x:si>
  <x:si>
    <x:t xml:space="preserve">EMELİNAN</x:t>
  </x:si>
  <x:si>
    <x:t xml:space="preserve">ZAFERİNAN</x:t>
  </x:si>
  <x:si>
    <x:t xml:space="preserve">ASİLİNAN</x:t>
  </x:si>
  <x:si>
    <x:t xml:space="preserve">DEMİRİNAN</x:t>
  </x:si>
  <x:si>
    <x:t xml:space="preserve">M. HUSEYINKIMYONOGLU</x:t>
  </x:si>
  <x:si>
    <x:t xml:space="preserve">INANCKIMYONOGLU</x:t>
  </x:si>
  <x:si>
    <x:t xml:space="preserve">MEHMET LUTFIKIMYONOGLU</x:t>
  </x:si>
  <x:si>
    <x:t xml:space="preserve">AZRAKIMYONOGLU</x:t>
  </x:si>
  <x:si>
    <x:t xml:space="preserve">SEMRAKEZBAN ARSLAN </x:t>
  </x:si>
  <x:si>
    <x:t xml:space="preserve">ARZUSASMAZ</x:t>
  </x:si>
  <x:si>
    <x:t xml:space="preserve">MUNTECEPSANLI </x:t>
  </x:si>
  <x:si>
    <x:t xml:space="preserve">SABAHATŞANLI</x:t>
  </x:si>
  <x:si>
    <x:t xml:space="preserve">HAYDAR ERCAN  </x:t>
  </x:si>
  <x:si>
    <x:t xml:space="preserve">SİBEL ERCAN  </x:t>
  </x:si>
  <x:si>
    <x:t xml:space="preserve">HİLAL SANLI </x:t>
  </x:si>
  <x:si>
    <x:t xml:space="preserve">LİNAŞANLI </x:t>
  </x:si>
  <x:si>
    <x:t xml:space="preserve">GÜLÇİN  DURMAZ </x:t>
  </x:si>
  <x:si>
    <x:t xml:space="preserve">KENAN KAYRA  DAN </x:t>
  </x:si>
  <x:si>
    <x:t xml:space="preserve">MERT BUGRA DAN </x:t>
  </x:si>
  <x:si>
    <x:t xml:space="preserve">SEDAT ÖZDEMİR</x:t>
  </x:si>
  <x:si>
    <x:t xml:space="preserve">3* PrimeStay Budapest </x:t>
  </x:si>
  <x:si>
    <x:t xml:space="preserve">https://www.primestaysbudapest.com/ </x:t>
  </x:si>
  <x:si>
    <x:t xml:space="preserve">Address: Budapest, Országbíró u. 44-46, 1139 Hungary</x:t>
  </x:si>
  <x:si>
    <x:t xml:space="preserve">Phone: +36 30 517 0471</x:t>
  </x:si>
  <x:si>
    <x:t xml:space="preserve">5*Grand Plaza Hotel </x:t>
  </x:si>
  <x:si>
    <x:t xml:space="preserve">https://www.grandplazahotel.si/</x:t>
  </x:si>
  <x:si>
    <x:t xml:space="preserve"> Address: Slovenska cesta 60, 1000 Ljubljana, Slovenia</x:t>
  </x:si>
  <x:si>
    <x:t xml:space="preserve">Phone: +386 1 243 01 00</x:t>
  </x:si>
  <x:si>
    <x:t xml:space="preserve">4*Hotel Blue </x:t>
  </x:si>
  <x:si>
    <x:t xml:space="preserve">https://www.hotelblue.eu/en/ </x:t>
  </x:si>
  <x:si>
    <x:t xml:space="preserve">Address: Ul. grada Vukovara 20, 10000, Zagreb, Croatia</x:t>
  </x:si>
  <x:si>
    <x:t xml:space="preserve">Phone: +385 1 3333 600</x:t>
  </x:si>
  <x:si>
    <x:t xml:space="preserve">4*SLEEEP Hotel Vösendorf </x:t>
  </x:si>
  <x:si>
    <x:t xml:space="preserve">https://www.sleeep-hotel.at/en</x:t>
  </x:si>
  <x:si>
    <x:t xml:space="preserve">Adres: Nordring 20, 2334 Vösendorf</x:t>
  </x:si>
  <x:si>
    <x:t xml:space="preserve">Tel: +43 7243 52052-23</x:t>
  </x:si>
  <x:si>
    <x:t xml:space="preserve">Tasks</x:t>
  </x:si>
  <x:si>
    <x:t xml:space="preserve">Pre</x:t>
  </x:si>
  <x:si>
    <x:t xml:space="preserve">Day1 </x:t>
  </x:si>
  <x:si>
    <x:t xml:space="preserve">Day2 </x:t>
  </x:si>
  <x:si>
    <x:t xml:space="preserve">Day3 </x:t>
  </x:si>
  <x:si>
    <x:t xml:space="preserve">Day4</x:t>
  </x:si>
  <x:si>
    <x:t xml:space="preserve">Day5</x:t>
  </x:si>
  <x:si>
    <x:t xml:space="preserve">Day6</x:t>
  </x:si>
  <x:si>
    <x:t xml:space="preserve">Day7</x:t>
  </x:si>
  <x:si>
    <x:t xml:space="preserve">Day8</x:t>
  </x:si>
  <x:si>
    <x:t xml:space="preserve">Otel Reservasyon oda check</x:t>
  </x:si>
  <x:si>
    <x:t xml:space="preserve">Tuna Tekne Rez</x:t>
  </x:si>
  <x:si>
    <x:t xml:space="preserve">Cigan Rez</x:t>
  </x:si>
  <x:si>
    <x:t xml:space="preserve">Ronesans Rez.</x:t>
  </x:si>
  <x:si>
    <x:t xml:space="preserve">Ginzing Rez.</x:t>
  </x:si>
  <x:si>
    <x:t xml:space="preserve">Venedik</x:t>
  </x:si>
</x:sst>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0"/>
  </x:numFmts>
  <x:fonts count="25">
    <x:font>
      <x:sz val="11"/>
      <x:color theme="1"/>
      <x:name val="Aptos Narrow"/>
    </x:font>
    <x:font>
      <x:b/>
      <x:sz val="11"/>
      <x:color theme="1"/>
      <x:name val="Aptos Narrow"/>
    </x:font>
    <x:font>
      <x:sz val="8"/>
      <x:color theme="1"/>
      <x:name val="Aptos Narrow"/>
    </x:font>
    <x:font>
      <x:sz val="11"/>
      <x:color theme="0"/>
      <x:name val="Aptos Narrow"/>
    </x:font>
    <x:font>
      <x:b/>
      <x:sz val="10"/>
      <x:color theme="1"/>
      <x:name val="Aptos Narrow"/>
    </x:font>
    <x:font>
      <x:b/>
      <x:sz val="10"/>
      <x:color theme="0"/>
      <x:name val="Aptos Narrow"/>
    </x:font>
    <x:font>
      <x:sz val="11"/>
      <x:color rgb="FF002060"/>
      <x:name val="Aptos Narrow"/>
    </x:font>
    <x:font>
      <x:b/>
      <x:sz val="10"/>
      <x:color rgb="FF002060"/>
      <x:name val="Aptos Narrow"/>
    </x:font>
    <x:font>
      <x:b/>
      <x:sz val="11"/>
      <x:color rgb="FF002060"/>
      <x:name val="Aptos Narrow"/>
    </x:font>
    <x:font>
      <x:sz val="11"/>
      <x:color theme="10"/>
      <x:name val="Aptos Narrow"/>
    </x:font>
    <x:font>
      <x:sz val="8"/>
      <x:name val="Aptos Narrow"/>
    </x:font>
    <x:font>
      <x:b/>
      <x:sz val="11"/>
      <x:color theme="1"/>
      <x:name val="Aptos Narrow"/>
    </x:font>
    <x:font>
      <x:b/>
      <x:sz val="11"/>
      <x:color rgb="FFFF0000"/>
      <x:name val="Aptos Narrow"/>
    </x:font>
    <x:font>
      <x:sz val="11"/>
      <x:color rgb="FF00B050"/>
      <x:name val="Aptos Narrow"/>
    </x:font>
    <x:font>
      <x:sz val="11"/>
      <x:color theme="1"/>
      <x:name val="Aptos Narrow"/>
    </x:font>
    <x:font>
      <x:sz val="11"/>
      <x:color theme="1"/>
      <x:name val="Calibri"/>
    </x:font>
    <x:font>
      <x:sz val="11"/>
      <x:color rgb="FFFF00FF"/>
      <x:name val="Calibri"/>
    </x:font>
    <x:font>
      <x:sz val="11"/>
      <x:color theme="3" tint="0.49998"/>
      <x:name val="Calibri"/>
    </x:font>
    <x:font>
      <x:sz val="8"/>
      <x:color theme="3" tint="0.49998"/>
      <x:name val="Aptos Narrow"/>
    </x:font>
    <x:font>
      <x:sz val="8"/>
      <x:color rgb="FFFF00FF"/>
      <x:name val="Aptos Narrow"/>
    </x:font>
    <x:font>
      <x:sz val="11"/>
      <x:color rgb="FF00B0F0"/>
      <x:name val="Calibri"/>
    </x:font>
    <x:font>
      <x:b/>
      <x:sz val="11"/>
      <x:color rgb="FFFFFFFF"/>
      <x:name val="Aptos Narrow"/>
    </x:font>
    <x:font>
      <x:b/>
      <x:sz val="11"/>
      <x:color rgb="FF000000"/>
      <x:name val="Aptos Narrow"/>
    </x:font>
    <x:font>
      <x:sz val="11"/>
      <x:color rgb="FF0000FF"/>
      <x:name val="Aptos Narrow"/>
    </x:font>
    <x:font>
      <x:b/>
      <x:sz val="11"/>
      <x:color rgb="FF0000FF"/>
      <x:name val="Aptos Narrow"/>
    </x:font>
  </x:fonts>
  <x:fills count="29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2" tint="-0.09998"/>
      </x:patternFill>
    </x:fill>
    <x:fill>
      <x:patternFill patternType="solid">
        <x:fgColor theme="9"/>
      </x:patternFill>
    </x:fill>
    <x:fill>
      <x:patternFill patternType="solid">
        <x:fgColor rgb="FFFFC000"/>
      </x:patternFill>
    </x:fill>
    <x:fill>
      <x:patternFill patternType="solid">
        <x:fgColor theme="0" tint="-0.15"/>
      </x:patternFill>
    </x:fill>
    <x:fill>
      <x:patternFill patternType="solid">
        <x:fgColor rgb="FFFFFFFF"/>
      </x:patternFill>
    </x:fill>
    <x:fill>
      <x:patternFill patternType="solid">
        <x:fgColor rgb="FF0070C0"/>
      </x:patternFill>
    </x:fill>
    <x:fill>
      <x:patternFill patternType="solid">
        <x:fgColor theme="5" tint="-0.24998"/>
      </x:patternFill>
    </x:fill>
    <x:fill>
      <x:patternFill patternType="solid">
        <x:fgColor rgb="FF9933FF"/>
      </x:patternFill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D3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AD3"/>
      </x:patternFill>
    </x:fill>
    <x:fill>
      <x:patternFill patternType="solid">
        <x:fgColor rgb="FFD9EAD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top style="thin">
        <x:color rgb="FF000000"/>
      </x:top>
    </x:border>
    <x:border>
      <x:top style="thin">
        <x:color rgb="FF000000"/>
      </x:top>
    </x:border>
    <x:border>
      <x:bottom style="hair">
        <x:color rgb="FFD9D9D9"/>
      </x:bottom>
    </x:border>
    <x:border>
      <x:bottom style="hair">
        <x:color rgb="FFD9D9D9"/>
      </x:bottom>
    </x:border>
  </x:borders>
  <x:cellStyleXfs count="3">
    <x:xf numFmtId="0" fontId="0" fillId="0" borderId="0"/>
    <x:xf numFmtId="0" fontId="9" fillId="0" borderId="0" applyNumberFormat="0" applyFill="0" applyBorder="0" applyAlignment="0" applyProtection="0"/>
    <x:xf numFmtId="0" fontId="14" fillId="0" borderId="0"/>
  </x:cellStyleXfs>
  <x:cellXfs count="282">
    <x:xf numFmtId="0" fontId="0" fillId="0" borderId="0" xfId="0"/>
    <x:xf numFmtId="0" fontId="1" fillId="0" borderId="0" xfId="0" applyFont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16" fontId="0" fillId="0" borderId="0" xfId="0" applyNumberFormat="1"/>
    <x:xf numFmtId="0" fontId="0" fillId="2" borderId="0" xfId="0" applyFill="1"/>
    <x:xf numFmtId="0" fontId="2" fillId="0" borderId="0" xfId="0" applyFo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Font="1" applyFill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Font="1" applyFill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Font="1" applyFill="1"/>
    <x:xf numFmtId="0" fontId="3" fillId="4" borderId="0" xfId="0" applyFont="1" applyFill="1" applyAlignment="1">
      <x:alignment horizontal="center"/>
    </x:xf>
    <x:xf numFmtId="0" fontId="7" fillId="5" borderId="0" xfId="0" applyFont="1" applyFill="1"/>
    <x:xf numFmtId="0" fontId="8" fillId="5" borderId="0" xfId="0" applyFont="1" applyFill="1"/>
    <x:xf numFmtId="0" fontId="9" fillId="0" borderId="0" xfId="1"/>
    <x:xf numFmtId="0" fontId="2" fillId="6" borderId="0" xfId="0" applyFont="1" applyFill="1"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0" fillId="0" borderId="0" xfId="0" applyNumberFormat="1"/>
    <x:xf numFmtId="0" fontId="11" fillId="0" borderId="0" xfId="0" applyFont="1"/>
    <x:xf numFmtId="0" fontId="12" fillId="0" borderId="0" xfId="0" applyFont="1"/>
    <x:xf numFmtId="0" fontId="13" fillId="0" borderId="0" xfId="0" applyFont="1"/>
    <x:xf numFmtId="0" fontId="15" fillId="6" borderId="1" xfId="2" applyFont="1" applyFill="1" applyBorder="1"/>
    <x:xf numFmtId="0" fontId="15" fillId="0" borderId="1" xfId="2" applyFont="1" applyBorder="1"/>
    <x:xf numFmtId="0" fontId="0" fillId="7" borderId="2" xfId="0" applyFill="1" applyBorder="1" applyAlignment="1">
      <x:alignment vertical="center"/>
    </x:xf>
    <x:xf numFmtId="0" fontId="0" fillId="7" borderId="1" xfId="0" applyFill="1" applyBorder="1" applyAlignment="1">
      <x:alignment vertical="center"/>
    </x:xf>
    <x:xf numFmtId="0" fontId="0" fillId="6" borderId="2" xfId="0" applyFill="1" applyBorder="1" applyAlignment="1">
      <x:alignment vertical="center"/>
    </x:xf>
    <x:xf numFmtId="0" fontId="0" fillId="6" borderId="1" xfId="0" applyFill="1" applyBorder="1" applyAlignment="1">
      <x:alignment vertical="center"/>
    </x:xf>
    <x:xf numFmtId="0" fontId="0" fillId="0" borderId="1" xfId="0" applyBorder="1" applyAlignment="1">
      <x:alignment vertical="center"/>
    </x:xf>
    <x:xf numFmtId="0" fontId="16" fillId="0" borderId="1" xfId="2" applyFont="1" applyBorder="1"/>
    <x:xf numFmtId="0" fontId="17" fillId="0" borderId="1" xfId="2" applyFont="1" applyBorder="1"/>
    <x:xf numFmtId="0" fontId="18" fillId="0" borderId="0" xfId="0" applyFo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0" xfId="0" applyFo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0" xfId="0" applyFont="1" applyFill="1"/>
    <x:xf numFmtId="0" fontId="0" fillId="8" borderId="0" xfId="0" applyFill="1"/>
    <x:xf numFmtId="0" fontId="4" fillId="8" borderId="0" xfId="0" applyFont="1" applyFill="1"/>
    <x:xf numFmtId="0" fontId="0" fillId="9" borderId="0" xfId="0" applyFill="1"/>
    <x:xf numFmtId="0" fontId="4" fillId="9" borderId="0" xfId="0" applyFont="1" applyFill="1"/>
    <x:xf numFmtId="0" fontId="0" fillId="10" borderId="0" xfId="0" applyFill="1"/>
    <x:xf numFmtId="0" fontId="4" fillId="10" borderId="0" xfId="0" applyFont="1" applyFill="1"/>
    <x:xf numFmtId="0" fontId="2" fillId="11" borderId="0" xfId="0" applyFont="1" applyFill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6" borderId="1" xfId="2" applyFont="1" applyFill="1" applyBorder="1"/>
    <x:xf numFmtId="0" fontId="2" fillId="12" borderId="0" xfId="0" applyFont="1" applyFill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16" fontId="0" fillId="0" borderId="3" xfId="0" applyNumberFormat="1" applyFont="1" applyFill="1" applyBorder="1"/>
    <x:xf numFmtId="0" fontId="0" fillId="2" borderId="3" xfId="0" applyNumberFormat="1" applyFont="1" applyFill="1" applyBorder="1"/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/>
    <x:xf numFmtId="0" fontId="8" fillId="5" borderId="3" xfId="0" applyNumberFormat="1" applyFont="1" applyFill="1" applyBorder="1"/>
    <x:xf numFmtId="0" fontId="9" fillId="0" borderId="3" xfId="0" applyNumberFormat="1" applyFont="1" applyFill="1" applyBorder="1"/>
    <x:xf numFmtId="0" fontId="2" fillId="6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0" fillId="0" borderId="3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5" fillId="6" borderId="4" xfId="0" applyNumberFormat="1" applyFont="1" applyFill="1" applyBorder="1"/>
    <x:xf numFmtId="0" fontId="15" fillId="0" borderId="4" xfId="0" applyNumberFormat="1" applyFont="1" applyFill="1" applyBorder="1"/>
    <x:xf numFmtId="0" fontId="0" fillId="7" borderId="5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16" fillId="0" borderId="4" xfId="0" applyNumberFormat="1" applyFont="1" applyFill="1" applyBorder="1"/>
    <x:xf numFmtId="0" fontId="17" fillId="0" borderId="4" xfId="0" applyNumberFormat="1" applyFont="1" applyFill="1" applyBorder="1"/>
    <x:xf numFmtId="0" fontId="18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3" xfId="0" applyNumberFormat="1" applyFont="1" applyFill="1" applyBorder="1"/>
    <x:xf numFmtId="0" fontId="0" fillId="8" borderId="3" xfId="0" applyNumberFormat="1" applyFont="1" applyFill="1" applyBorder="1"/>
    <x:xf numFmtId="0" fontId="4" fillId="8" borderId="3" xfId="0" applyNumberFormat="1" applyFont="1" applyFill="1" applyBorder="1"/>
    <x:xf numFmtId="0" fontId="0" fillId="9" borderId="3" xfId="0" applyNumberFormat="1" applyFont="1" applyFill="1" applyBorder="1"/>
    <x:xf numFmtId="0" fontId="4" fillId="9" borderId="3" xfId="0" applyNumberFormat="1" applyFont="1" applyFill="1" applyBorder="1"/>
    <x:xf numFmtId="0" fontId="0" fillId="10" borderId="3" xfId="0" applyNumberFormat="1" applyFont="1" applyFill="1" applyBorder="1"/>
    <x:xf numFmtId="0" fontId="4" fillId="10" borderId="3" xfId="0" applyNumberFormat="1" applyFont="1" applyFill="1" applyBorder="1"/>
    <x:xf numFmtId="0" fontId="2" fillId="11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6" borderId="4" xfId="0" applyNumberFormat="1" applyFont="1" applyFill="1" applyBorder="1"/>
    <x:xf numFmtId="0" fontId="2" fillId="12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/>
    <x:xf numFmtId="0" fontId="21" fillId="13" borderId="0" xfId="0" applyNumberFormat="1" applyFont="1" applyFill="1" applyBorder="1"/>
    <x:xf numFmtId="0" fontId="21" fillId="13" borderId="0" xfId="0" applyNumberFormat="1" applyFont="1" applyFill="1" applyBorder="1" applyAlignment="1">
      <x:alignment horizontal="center"/>
    </x:xf>
    <x:xf numFmtId="0" fontId="21" fillId="13" borderId="0" xfId="0" applyNumberFormat="1" applyFont="1" applyFill="1" applyBorder="1" applyAlignment="1">
      <x:alignment horizontal="center" vertical="center"/>
    </x:xf>
    <x:xf numFmtId="0" fontId="0" fillId="13" borderId="3" xfId="0" applyNumberFormat="1" applyFont="1" applyFill="1" applyBorder="1"/>
    <x:xf numFmtId="0" fontId="21" fillId="13" borderId="3" xfId="0" applyNumberFormat="1" applyFont="1" applyFill="1" applyBorder="1"/>
    <x:xf numFmtId="0" fontId="21" fillId="13" borderId="3" xfId="0" applyNumberFormat="1" applyFont="1" applyFill="1" applyBorder="1" applyAlignment="1">
      <x:alignment horizontal="center"/>
    </x:xf>
    <x:xf numFmtId="0" fontId="21" fillId="13" borderId="3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21" fillId="14" borderId="0" xfId="0" applyNumberFormat="1" applyFont="1" applyFill="1" applyBorder="1"/>
    <x:xf numFmtId="0" fontId="21" fillId="14" borderId="0" xfId="0" applyNumberFormat="1" applyFont="1" applyFill="1" applyBorder="1" applyAlignment="1">
      <x:alignment wrapText="1"/>
    </x:xf>
    <x:xf numFmtId="0" fontId="21" fillId="14" borderId="0" xfId="0" applyNumberFormat="1" applyFont="1" applyFill="1" applyBorder="1" applyAlignment="1">
      <x:alignment horizontal="center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0" fillId="14" borderId="3" xfId="0" applyNumberFormat="1" applyFont="1" applyFill="1" applyBorder="1"/>
    <x:xf numFmtId="0" fontId="21" fillId="14" borderId="3" xfId="0" applyNumberFormat="1" applyFont="1" applyFill="1" applyBorder="1"/>
    <x:xf numFmtId="0" fontId="21" fillId="14" borderId="3" xfId="0" applyNumberFormat="1" applyFont="1" applyFill="1" applyBorder="1" applyAlignment="1">
      <x:alignment wrapText="1"/>
    </x:xf>
    <x:xf numFmtId="0" fontId="21" fillId="14" borderId="3" xfId="0" applyNumberFormat="1" applyFont="1" applyFill="1" applyBorder="1" applyAlignment="1">
      <x:alignment horizontal="center" wrapText="1"/>
    </x:xf>
    <x:xf numFmtId="0" fontId="21" fillId="14" borderId="3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6" xfId="0" applyNumberFormat="1" applyFont="1" applyFill="1" applyBorder="1"/>
    <x:xf numFmtId="0" fontId="0" fillId="15" borderId="3" xfId="0" applyNumberFormat="1" applyFont="1" applyFill="1" applyBorder="1"/>
    <x:xf numFmtId="0" fontId="1" fillId="15" borderId="3" xfId="0" applyNumberFormat="1" applyFont="1" applyFill="1" applyBorder="1"/>
    <x:xf numFmtId="0" fontId="1" fillId="15" borderId="7" xfId="0" applyNumberFormat="1" applyFont="1" applyFill="1" applyBorder="1"/>
    <x:xf numFmtId="200" fontId="0" fillId="0" borderId="0" xfId="0" applyNumberFormat="1" applyFont="1" applyFill="1" applyBorder="1"/>
    <x:xf numFmtId="200" fontId="1" fillId="15" borderId="6" xfId="0" applyNumberFormat="1" applyFont="1" applyFill="1" applyBorder="1"/>
    <x:xf numFmtId="200" fontId="0" fillId="0" borderId="3" xfId="0" applyNumberFormat="1" applyFont="1" applyFill="1" applyBorder="1"/>
    <x:xf numFmtId="200" fontId="1" fillId="15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21" fillId="13" borderId="0" xfId="0" applyNumberFormat="1" applyFont="1" applyFill="1" applyBorder="1" applyAlignment="1">
      <x:alignment horizontal="center" vertical="center" wrapText="0"/>
    </x:xf>
    <x:xf numFmtId="0" fontId="21" fillId="1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200" fontId="0" fillId="0" borderId="8" xfId="0" applyNumberFormat="1" applyFont="1" applyFill="1" applyBorder="1" applyAlignment="1">
      <x:alignment wrapText="0"/>
    </x:xf>
    <x:xf numFmtId="0" fontId="1" fillId="15" borderId="6" xfId="0" applyNumberFormat="1" applyFont="1" applyFill="1" applyBorder="1" applyAlignment="1">
      <x:alignment wrapText="0"/>
    </x:xf>
    <x:xf numFmtId="200" fontId="1" fillId="15" borderId="6" xfId="0" applyNumberFormat="1" applyFont="1" applyFill="1" applyBorder="1" applyAlignment="1">
      <x:alignment wrapText="0"/>
    </x:xf>
    <x:xf numFmtId="0" fontId="21" fillId="13" borderId="3" xfId="0" applyNumberFormat="1" applyFont="1" applyFill="1" applyBorder="1" applyAlignment="1">
      <x:alignment horizontal="center" vertical="center" wrapText="0"/>
    </x:xf>
    <x:xf numFmtId="0" fontId="21" fillId="14" borderId="3" xfId="0" applyNumberFormat="1" applyFont="1" applyFill="1" applyBorder="1" applyAlignment="1">
      <x:alignment horizontal="center" vertical="center" wrapText="0"/>
    </x:xf>
    <x:xf numFmtId="0" fontId="0" fillId="0" borderId="3" xfId="0" applyNumberFormat="1" applyFont="1" applyFill="1" applyBorder="1" applyAlignment="1">
      <x:alignment wrapText="0"/>
    </x:xf>
    <x:xf numFmtId="200" fontId="0" fillId="0" borderId="3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0" fontId="1" fillId="15" borderId="7" xfId="0" applyNumberFormat="1" applyFont="1" applyFill="1" applyBorder="1" applyAlignment="1">
      <x:alignment wrapText="0"/>
    </x:xf>
    <x:xf numFmtId="200" fontId="1" fillId="15" borderId="7" xfId="0" applyNumberFormat="1" applyFont="1" applyFill="1" applyBorder="1" applyAlignment="1">
      <x:alignment wrapText="0"/>
    </x:xf>
    <x:xf numFmtId="0" fontId="0" fillId="16" borderId="0" xfId="0" applyNumberFormat="1" applyFont="1" applyFill="1" applyBorder="1"/>
    <x:xf numFmtId="0" fontId="22" fillId="16" borderId="0" xfId="0" applyNumberFormat="1" applyFont="1" applyFill="1" applyBorder="1"/>
    <x:xf numFmtId="0" fontId="0" fillId="16" borderId="3" xfId="0" applyNumberFormat="1" applyFont="1" applyFill="1" applyBorder="1"/>
    <x:xf numFmtId="0" fontId="22" fillId="16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3" xfId="0" applyNumberFormat="1" applyFont="1" applyFill="1" applyBorder="1"/>
    <x:xf numFmtId="200" fontId="22" fillId="16" borderId="0" xfId="0" applyNumberFormat="1" applyFont="1" applyFill="1" applyBorder="1"/>
    <x:xf numFmtId="200" fontId="22" fillId="16" borderId="3" xfId="0" applyNumberFormat="1" applyFont="1" applyFill="1" applyBorder="1"/>
    <x:xf numFmtId="0" fontId="21" fillId="1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2" fillId="16" borderId="0" xfId="0" applyNumberFormat="1" applyFont="1" applyFill="1" applyBorder="1" applyAlignment="1">
      <x:alignment wrapText="1"/>
    </x:xf>
    <x:xf numFmtId="200" fontId="22" fillId="16" borderId="0" xfId="0" applyNumberFormat="1" applyFont="1" applyFill="1" applyBorder="1" applyAlignment="1">
      <x:alignment wrapText="1"/>
    </x:xf>
    <x:xf numFmtId="0" fontId="1" fillId="15" borderId="6" xfId="0" applyNumberFormat="1" applyFont="1" applyFill="1" applyBorder="1" applyAlignment="1">
      <x:alignment wrapText="1"/>
    </x:xf>
    <x:xf numFmtId="200" fontId="1" fillId="15" borderId="6" xfId="0" applyNumberFormat="1" applyFont="1" applyFill="1" applyBorder="1" applyAlignment="1">
      <x:alignment wrapText="1"/>
    </x:xf>
    <x:xf numFmtId="0" fontId="21" fillId="1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22" fillId="16" borderId="3" xfId="0" applyNumberFormat="1" applyFont="1" applyFill="1" applyBorder="1" applyAlignment="1">
      <x:alignment wrapText="1"/>
    </x:xf>
    <x:xf numFmtId="200" fontId="22" fillId="16" borderId="3" xfId="0" applyNumberFormat="1" applyFont="1" applyFill="1" applyBorder="1" applyAlignment="1">
      <x:alignment wrapText="1"/>
    </x:xf>
    <x:xf numFmtId="0" fontId="1" fillId="15" borderId="7" xfId="0" applyNumberFormat="1" applyFont="1" applyFill="1" applyBorder="1" applyAlignment="1">
      <x:alignment wrapText="1"/>
    </x:xf>
    <x:xf numFmtId="200" fontId="1" fillId="15" borderId="7" xfId="0" applyNumberFormat="1" applyFont="1" applyFill="1" applyBorder="1" applyAlignment="1">
      <x:alignment wrapText="1"/>
    </x:xf>
    <x:xf numFmtId="200" fontId="23" fillId="0" borderId="0" xfId="0" applyNumberFormat="1" applyFont="1" applyFill="1" applyBorder="1" applyAlignment="1">
      <x:alignment wrapText="1"/>
    </x:xf>
    <x:xf numFmtId="200" fontId="23" fillId="0" borderId="3" xfId="0" applyNumberFormat="1" applyFont="1" applyFill="1" applyBorder="1" applyAlignment="1">
      <x:alignment wrapText="1"/>
    </x:xf>
    <x:xf numFmtId="200" fontId="23" fillId="17" borderId="0" xfId="0" applyNumberFormat="1" applyFont="1" applyFill="1" applyBorder="1" applyAlignment="1">
      <x:alignment wrapText="1"/>
    </x:xf>
    <x:xf numFmtId="200" fontId="23" fillId="17" borderId="3" xfId="0" applyNumberFormat="1" applyFont="1" applyFill="1" applyBorder="1" applyAlignment="1">
      <x:alignment wrapText="1"/>
    </x:xf>
    <x:xf numFmtId="200" fontId="24" fillId="15" borderId="6" xfId="0" applyNumberFormat="1" applyFont="1" applyFill="1" applyBorder="1" applyAlignment="1">
      <x:alignment wrapText="1"/>
    </x:xf>
    <x:xf numFmtId="200" fontId="24" fillId="15" borderId="7" xfId="0" applyNumberFormat="1" applyFont="1" applyFill="1" applyBorder="1" applyAlignment="1">
      <x:alignment wrapText="1"/>
    </x:xf>
    <x:xf numFmtId="200" fontId="24" fillId="17" borderId="6" xfId="0" applyNumberFormat="1" applyFont="1" applyFill="1" applyBorder="1" applyAlignment="1">
      <x:alignment wrapText="1"/>
    </x:xf>
    <x:xf numFmtId="200" fontId="24" fillId="17" borderId="7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16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/>
    <x:xf numFmtId="0" fontId="2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0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5" fillId="6" borderId="1" xfId="0" applyNumberFormat="1" applyFont="1" applyFill="1" applyBorder="1"/>
    <x:xf numFmtId="0" fontId="15" fillId="0" borderId="1" xfId="0" applyNumberFormat="1" applyFont="1" applyFill="1" applyBorder="1"/>
    <x:xf numFmtId="0" fontId="0" fillId="7" borderId="2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/>
    <x:xf numFmtId="0" fontId="17" fillId="0" borderId="1" xfId="0" applyNumberFormat="1" applyFont="1" applyFill="1" applyBorder="1"/>
    <x:xf numFmtId="0" fontId="1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2" fillId="11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6" borderId="1" xfId="0" applyNumberFormat="1" applyFont="1" applyFill="1" applyBorder="1"/>
    <x:xf numFmtId="0" fontId="2" fillId="1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" fillId="18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1" fillId="18" borderId="0" xfId="0" applyNumberFormat="1" applyFont="1" applyFill="1" applyBorder="1"/>
    <x:xf numFmtId="0" fontId="21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22" fillId="19" borderId="0" xfId="0" applyNumberFormat="1" applyFont="1" applyFill="1" applyBorder="1"/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21" fillId="20" borderId="0" xfId="0" applyNumberFormat="1" applyFont="1" applyFill="1" applyBorder="1" applyAlignment="1">
      <x:alignment horizontal="center" wrapText="1"/>
    </x:xf>
    <x:xf numFmtId="0" fontId="21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6" xfId="0" applyNumberFormat="1" applyFont="1" applyFill="1" applyBorder="1"/>
    <x:xf numFmtId="200" fontId="1" fillId="21" borderId="6" xfId="0" applyNumberFormat="1" applyFont="1" applyFill="1" applyBorder="1"/>
    <x:xf numFmtId="200" fontId="22" fillId="19" borderId="0" xfId="0" applyNumberFormat="1" applyFont="1" applyFill="1" applyBorder="1"/>
    <x:xf numFmtId="200" fontId="21" fillId="20" borderId="0" xfId="0" applyNumberFormat="1" applyFont="1" applyFill="1" applyBorder="1" applyAlignment="1">
      <x:alignment horizontal="center" vertical="center" wrapText="1"/>
    </x:xf>
    <x:xf numFmtId="0" fontId="21" fillId="18" borderId="0" xfId="0" applyNumberFormat="1" applyFont="1" applyFill="1" applyBorder="1" applyAlignment="1">
      <x:alignment horizontal="center" vertical="center" wrapText="1"/>
    </x:xf>
    <x:xf numFmtId="0" fontId="22" fillId="19" borderId="0" xfId="0" applyNumberFormat="1" applyFont="1" applyFill="1" applyBorder="1" applyAlignment="1">
      <x:alignment wrapText="1"/>
    </x:xf>
    <x:xf numFmtId="0" fontId="1" fillId="21" borderId="6" xfId="0" applyNumberFormat="1" applyFont="1" applyFill="1" applyBorder="1" applyAlignment="1">
      <x:alignment wrapText="1"/>
    </x:xf>
    <x:xf numFmtId="200" fontId="1" fillId="21" borderId="6" xfId="0" applyNumberFormat="1" applyFont="1" applyFill="1" applyBorder="1" applyAlignment="1">
      <x:alignment wrapText="1"/>
    </x:xf>
    <x:xf numFmtId="200" fontId="22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200" fontId="0" fillId="20" borderId="0" xfId="0" applyNumberFormat="1" applyFont="1" applyFill="1" applyBorder="1" applyAlignment="1">
      <x:alignment wrapText="1"/>
    </x:xf>
    <x:xf numFmtId="200" fontId="21" fillId="20" borderId="0" xfId="0" applyNumberFormat="1" applyFont="1" applyFill="1" applyBorder="1" applyAlignment="1">
      <x:alignment wrapText="1"/>
    </x:xf>
    <x:xf numFmtId="200" fontId="21" fillId="20" borderId="0" xfId="0" applyNumberFormat="1" applyFont="1" applyFill="1" applyBorder="1" applyAlignment="1">
      <x:alignment horizontal="center" wrapText="1"/>
    </x:xf>
    <x:xf numFmtId="0" fontId="0" fillId="21" borderId="0" xfId="0" applyNumberFormat="1" applyFont="1" applyFill="1" applyBorder="1" applyAlignment="1">
      <x:alignment wrapText="1"/>
    </x:xf>
    <x:xf numFmtId="200" fontId="0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wrapText="1"/>
    </x:xf>
    <x:xf numFmtId="200" fontId="1" fillId="21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200" fontId="0" fillId="19" borderId="0" xfId="0" applyNumberFormat="1" applyFont="1" applyFill="1" applyBorder="1" applyAlignment="1">
      <x:alignment wrapText="1"/>
    </x:xf>
    <x:xf numFmtId="200" fontId="21" fillId="14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wrapText="1"/>
    </x:xf>
    <x:xf numFmtId="200" fontId="0" fillId="14" borderId="0" xfId="0" applyNumberFormat="1" applyFont="1" applyFill="1" applyBorder="1" applyAlignment="1">
      <x:alignment wrapText="1"/>
    </x:xf>
    <x:xf numFmtId="200" fontId="21" fillId="14" borderId="0" xfId="0" applyNumberFormat="1" applyFont="1" applyFill="1" applyBorder="1" applyAlignment="1">
      <x:alignment wrapText="1"/>
    </x:xf>
    <x:xf numFmtId="200" fontId="21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 applyAlignment="1">
      <x:alignment wrapText="1"/>
    </x:xf>
    <x:xf numFmtId="200" fontId="0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wrapText="1"/>
    </x:xf>
    <x:xf numFmtId="200" fontId="1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200" fontId="0" fillId="16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6" xfId="0" applyNumberFormat="1" applyFont="1" applyFill="1" applyBorder="1"/>
    <x:xf numFmtId="200" fontId="1" fillId="22" borderId="6" xfId="0" applyNumberFormat="1" applyFont="1" applyFill="1" applyBorder="1"/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200" fontId="1" fillId="23" borderId="0" xfId="0" applyNumberFormat="1" applyFont="1" applyFill="1" applyBorder="1"/>
    <x:xf numFmtId="0" fontId="21" fillId="24" borderId="0" xfId="0" applyNumberFormat="1" applyFont="1" applyFill="1" applyBorder="1" applyAlignment="1">
      <x:alignment horizontal="center" vertical="center" wrapText="1"/>
    </x:xf>
    <x:xf numFmtId="0" fontId="22" fillId="25" borderId="0" xfId="0" applyNumberFormat="1" applyFont="1" applyFill="1" applyBorder="1" applyAlignment="1">
      <x:alignment wrapText="1"/>
    </x:xf>
    <x:xf numFmtId="0" fontId="21" fillId="25" borderId="0" xfId="0" applyNumberFormat="1" applyFont="1" applyFill="1" applyBorder="1" applyAlignment="1">
      <x:alignment wrapText="1"/>
    </x:xf>
    <x:xf numFmtId="0" fontId="21" fillId="25" borderId="0" xfId="0" applyNumberFormat="1" applyFont="1" applyFill="1" applyBorder="1" applyAlignment="1">
      <x:alignment horizontal="center" wrapText="1"/>
    </x:xf>
    <x:xf numFmtId="0" fontId="21" fillId="25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 applyAlignment="1">
      <x:alignment wrapText="1"/>
    </x:xf>
    <x:xf numFmtId="200" fontId="0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wrapText="1"/>
    </x:xf>
    <x:xf numFmtId="200" fontId="1" fillId="22" borderId="0" xfId="0" applyNumberFormat="1" applyFont="1" applyFill="1" applyBorder="1" applyAlignment="1">
      <x:alignment wrapText="1"/>
    </x:xf>
    <x:xf numFmtId="0" fontId="1" fillId="22" borderId="6" xfId="0" applyNumberFormat="1" applyFont="1" applyFill="1" applyBorder="1" applyAlignment="1">
      <x:alignment wrapText="1"/>
    </x:xf>
    <x:xf numFmtId="200" fontId="1" fillId="22" borderId="6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21" fillId="24" borderId="0" xfId="0" applyNumberFormat="1" applyFont="1" applyFill="1" applyBorder="1"/>
    <x:xf numFmtId="0" fontId="21" fillId="24" borderId="0" xfId="0" applyNumberFormat="1" applyFont="1" applyFill="1" applyBorder="1" applyAlignment="1">
      <x:alignment horizontal="center"/>
    </x:xf>
    <x:xf numFmtId="0" fontId="0" fillId="25" borderId="0" xfId="0" applyNumberFormat="1" applyFont="1" applyFill="1" applyBorder="1"/>
    <x:xf numFmtId="0" fontId="21" fillId="25" borderId="0" xfId="0" applyNumberFormat="1" applyFont="1" applyFill="1" applyBorder="1"/>
    <x:xf numFmtId="0" fontId="1" fillId="26" borderId="0" xfId="0" applyNumberFormat="1" applyFont="1" applyFill="1" applyBorder="1"/>
    <x:xf numFmtId="0" fontId="24" fillId="26" borderId="0" xfId="0" applyNumberFormat="1" applyFont="1" applyFill="1" applyBorder="1"/>
    <x:xf numFmtId="0" fontId="21" fillId="24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23" borderId="0" xfId="0" applyNumberFormat="1" applyFont="1" applyFill="1" applyBorder="1" applyAlignment="1">
      <x:alignment wrapText="1"/>
    </x:xf>
    <x:xf numFmtId="200" fontId="1" fillId="23" borderId="0" xfId="0" applyNumberFormat="1" applyFont="1" applyFill="1" applyBorder="1" applyAlignment="1">
      <x:alignment wrapText="1"/>
    </x:xf>
    <x:xf numFmtId="200" fontId="21" fillId="25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wrapText="1"/>
    </x:xf>
    <x:xf numFmtId="200" fontId="0" fillId="23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/>
    <x:xf numFmtId="200" fontId="1" fillId="16" borderId="0" xfId="0" applyNumberFormat="1" applyFont="1" applyFill="1" applyBorder="1"/>
    <x:xf numFmtId="0" fontId="22" fillId="14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/>
    <x:xf numFmtId="0" fontId="24" fillId="17" borderId="0" xfId="0" applyNumberFormat="1" applyFont="1" applyFill="1" applyBorder="1"/>
    <x:xf numFmtId="0" fontId="21" fillId="13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wrapText="1"/>
    </x:xf>
    <x:xf numFmtId="200" fontId="1" fillId="1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horizontal="center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200" fontId="1" fillId="28" borderId="0" xfId="0" applyNumberFormat="1" applyFont="1" applyFill="1" applyBorder="1"/>
  </x:cellXfs>
  <x:cellStyles count="3">
    <x:cellStyle name="Hyperlink" xfId="1"/>
    <x:cellStyle name="Normal" xfId="0"/>
    <x:cellStyle name="Normal 3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eea4e7cd2482b" /><Relationship Type="http://schemas.openxmlformats.org/officeDocument/2006/relationships/theme" Target="/xl/theme/theme1.xml" Id="Rf530e4d76e1d4400" /><Relationship Type="http://schemas.microsoft.com/office/2022/11/relationships/FeaturePropertyBag" Target="/xl/featurePropertyBag/featurePropertyBag.xml" Id="R582407e60d6b4122" /><Relationship Type="http://schemas.openxmlformats.org/officeDocument/2006/relationships/sharedStrings" Target="/xl/sharedStrings.xml" Id="R81b55ab6f8e948b3" /><Relationship Type="http://schemas.openxmlformats.org/officeDocument/2006/relationships/worksheet" Target="/xl/worksheets/sheet1.xml" Id="R5fcee2146cad42d5" /><Relationship Type="http://schemas.openxmlformats.org/officeDocument/2006/relationships/worksheet" Target="/xl/worksheets/sheet2.xml" Id="Rf3fea094cce34c04" /><Relationship Type="http://schemas.openxmlformats.org/officeDocument/2006/relationships/worksheet" Target="/xl/worksheets/sheet3.xml" Id="R0f5d98ed710948db" /><Relationship Type="http://schemas.openxmlformats.org/officeDocument/2006/relationships/worksheet" Target="/xl/worksheets/sheet4.xml" Id="Rf34582901a8b43c7" /><Relationship Type="http://schemas.openxmlformats.org/officeDocument/2006/relationships/worksheet" Target="/xl/worksheets/sheet5.xml" Id="R1306bcbb387f41da" /><Relationship Type="http://schemas.openxmlformats.org/officeDocument/2006/relationships/worksheet" Target="/xl/worksheets/sheet6.xml" Id="R60f49e4f2a0c4301" /><Relationship Type="http://schemas.openxmlformats.org/officeDocument/2006/relationships/worksheet" Target="/xl/worksheets/sheet7.xml" Id="R98511f78505646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8.6328125" customWidth="1"/>
    <x:col min="2" max="2" width="8.7265625" customWidth="1"/>
    <x:col min="3" max="3" width="6.81640625" customWidth="1"/>
    <x:col min="4" max="4" width="9.36328125" customWidth="1"/>
    <x:col min="5" max="5" width="7.90625" customWidth="1"/>
    <x:col min="6" max="6" width="7.6328125" customWidth="1"/>
    <x:col min="7" max="7" width="9.6328125" customWidth="1"/>
    <x:col min="8" max="8" width="6.54296875" customWidth="1"/>
    <x:col min="9" max="9" width="9.6328125" customWidth="1"/>
    <x:col min="10" max="10" width="8.90625" customWidth="1"/>
    <x:col min="11" max="11" width="8.90625" customWidth="1"/>
    <x:col min="12" max="12" width="8.453125" customWidth="1"/>
    <x:col min="13" max="13" width="2.1796875" customWidth="1"/>
    <x:col min="15" max="15" width="8.08984375" customWidth="1"/>
  </x:cols>
  <x:sheetData>
    <x:row r="1">
      <x:c r="A1" s="1" t="s">
        <x:v>0</x:v>
      </x:c>
      <x:c r="B1" s="9">
        <x:v>40</x:v>
      </x:c>
      <x:c r="C1" s="29">
        <x:v>50</x:v>
      </x:c>
      <x:c r="D1" s="29">
        <x:v>60</x:v>
      </x:c>
      <x:c r="E1" s="29">
        <x:v>65</x:v>
      </x:c>
      <x:c r="F1" s="30">
        <x:v>40</x:v>
      </x:c>
      <x:c r="G1" s="30">
        <x:v>60</x:v>
      </x:c>
      <x:c r="H1" s="30">
        <x:v>70</x:v>
      </x:c>
      <x:c r="I1" s="32">
        <x:v>40</x:v>
      </x:c>
      <x:c r="J1" s="34">
        <x:v>100</x:v>
      </x:c>
      <x:c r="K1" s="34"/>
      <x:c r="L1" s="34">
        <x:v>65</x:v>
      </x:c>
    </x:row>
    <x:row r="2">
      <x:c r="A2" s="1" t="s">
        <x:v>1</x:v>
      </x:c>
      <x:c r="B2" s="8" t="s">
        <x:v>2</x:v>
      </x:c>
      <x:c r="C2" s="10" t="s">
        <x:v>3</x:v>
      </x:c>
      <x:c r="D2" s="11" t="s">
        <x:v>4</x:v>
      </x:c>
      <x:c r="E2" s="11" t="s">
        <x:v>5</x:v>
      </x:c>
      <x:c r="F2" s="31" t="s">
        <x:v>6</x:v>
      </x:c>
      <x:c r="G2" s="31" t="s">
        <x:v>7</x:v>
      </x:c>
      <x:c r="H2" s="31" t="s">
        <x:v>8</x:v>
      </x:c>
      <x:c r="I2" s="33" t="s">
        <x:v>9</x:v>
      </x:c>
      <x:c r="J2" s="35" t="s">
        <x:v>10</x:v>
      </x:c>
      <x:c r="K2" s="35" t="s">
        <x:v>11</x:v>
      </x:c>
      <x:c r="L2" s="35" t="s">
        <x:v>12</x:v>
      </x:c>
      <x:c r="M2" s="241" t="str">
        <x:v>SUM(Children discount)</x:v>
      </x:c>
      <x:c r="N2" s="242" t="n">
        <x:f>SUM(B52:J52,L52)</x:f>
        <x:v>-120</x:v>
      </x:c>
      <x:c r="O2" s="1"/>
    </x:row>
    <x:row r="3">
      <x:c r="A3" s="18" t="s">
        <x:v>13</x:v>
      </x:c>
      <x:c r="B3" s="7" t="b">
        <x:v>1</x:v>
      </x:c>
      <x:c r="C3" s="7" t="b">
        <x:v>1</x:v>
      </x:c>
      <x:c r="D3" s="7" t="b">
        <x:v>1</x:v>
      </x:c>
      <x:c r="E3" s="7" t="b">
        <x:v>1</x:v>
      </x:c>
      <x:c r="F3" s="7" t="b">
        <x:v>1</x:v>
      </x:c>
      <x:c r="G3" s="7" t="b">
        <x:v>1</x:v>
      </x:c>
      <x:c r="H3" s="7" t="b">
        <x:v>1</x:v>
      </x:c>
      <x:c r="I3" s="7" t="b">
        <x:v>1</x:v>
      </x:c>
      <x:c r="J3" s="7" t="b">
        <x:v>1</x:v>
      </x:c>
      <x:c r="K3" s="7"/>
      <x:c r="L3" s="7" t="b">
        <x:v>1</x:v>
      </x:c>
      <x:c r="N3" s="7" t="b">
        <x:v>0</x:v>
      </x:c>
    </x:row>
    <x:row r="4">
      <x:c r="A4" s="19" t="s">
        <x:v>14</x:v>
      </x:c>
      <x:c r="B4" s="5" t="b">
        <x:v>1</x:v>
      </x:c>
      <x:c r="C4" s="5" t="b">
        <x:v>1</x:v>
      </x:c>
      <x:c r="D4" s="5" t="b">
        <x:v>1</x:v>
      </x:c>
      <x:c r="E4" s="5" t="b">
        <x:v>0</x:v>
      </x:c>
      <x:c r="F4" s="5" t="b">
        <x:v>1</x:v>
      </x:c>
      <x:c r="G4" s="5" t="b">
        <x:v>1</x:v>
      </x:c>
      <x:c r="H4" s="5" t="b">
        <x:v>1</x:v>
      </x:c>
      <x:c r="I4" s="5" t="b">
        <x:v>0</x:v>
      </x:c>
      <x:c r="J4" s="5" t="b">
        <x:v>1</x:v>
      </x:c>
      <x:c r="K4" s="5"/>
      <x:c r="L4" s="5" t="b">
        <x:v>0</x:v>
      </x:c>
      <x:c r="N4" s="5" t="b">
        <x:v>0</x:v>
      </x:c>
    </x:row>
    <x:row r="5">
      <x:c r="A5" s="19" t="s">
        <x:v>15</x:v>
      </x:c>
      <x:c r="B5" s="5" t="b">
        <x:v>1</x:v>
      </x:c>
      <x:c r="C5" s="5" t="b">
        <x:v>1</x:v>
      </x:c>
      <x:c r="D5" s="5" t="b">
        <x:v>1</x:v>
      </x:c>
      <x:c r="E5" s="5" t="b">
        <x:v>0</x:v>
      </x:c>
      <x:c r="F5" s="5" t="b">
        <x:v>1</x:v>
      </x:c>
      <x:c r="G5" s="5" t="b">
        <x:v>1</x:v>
      </x:c>
      <x:c r="H5" s="5" t="b">
        <x:v>1</x:v>
      </x:c>
      <x:c r="I5" s="5" t="b">
        <x:v>0</x:v>
      </x:c>
      <x:c r="J5" s="5" t="b">
        <x:v>1</x:v>
      </x:c>
      <x:c r="K5" s="5"/>
      <x:c r="L5" s="5" t="b">
        <x:v>0</x:v>
      </x:c>
      <x:c r="N5" s="5" t="b">
        <x:v>0</x:v>
      </x:c>
    </x:row>
    <x:row r="6" s="4" customFormat="1">
      <x:c r="A6" s="18" t="s">
        <x:v>16</x:v>
      </x:c>
      <x:c r="B6" s="13" t="b">
        <x:v>1</x:v>
      </x:c>
      <x:c r="C6" s="13" t="b">
        <x:v>0</x:v>
      </x:c>
      <x:c r="D6" s="13" t="b">
        <x:v>1</x:v>
      </x:c>
      <x:c r="E6" s="13" t="b">
        <x:v>0</x:v>
      </x:c>
      <x:c r="F6" s="13" t="b">
        <x:v>1</x:v>
      </x:c>
      <x:c r="G6" s="13" t="b">
        <x:v>1</x:v>
      </x:c>
      <x:c r="H6" s="13" t="b">
        <x:v>0</x:v>
      </x:c>
      <x:c r="I6" s="13" t="b">
        <x:v>1</x:v>
      </x:c>
      <x:c r="J6" s="13" t="b">
        <x:v>0</x:v>
      </x:c>
      <x:c r="K6" s="13"/>
      <x:c r="L6" s="13" t="b">
        <x:v>0</x:v>
      </x:c>
      <x:c r="N6" s="13" t="b">
        <x:v>0</x:v>
      </x:c>
    </x:row>
    <x:row r="7">
      <x:c r="A7" s="18" t="s">
        <x:v>17</x:v>
      </x:c>
      <x:c r="B7" s="13" t="b">
        <x:v>1</x:v>
      </x:c>
      <x:c r="C7" s="13" t="b">
        <x:v>0</x:v>
      </x:c>
      <x:c r="D7" s="13" t="b">
        <x:v>1</x:v>
      </x:c>
      <x:c r="E7" s="13" t="b">
        <x:v>0</x:v>
      </x:c>
      <x:c r="F7" s="13" t="b">
        <x:v>1</x:v>
      </x:c>
      <x:c r="G7" s="13" t="b">
        <x:v>1</x:v>
      </x:c>
      <x:c r="H7" s="13" t="b">
        <x:v>0</x:v>
      </x:c>
      <x:c r="I7" s="13" t="b">
        <x:v>1</x:v>
      </x:c>
      <x:c r="J7" s="13" t="b">
        <x:v>0</x:v>
      </x:c>
      <x:c r="K7" s="13"/>
      <x:c r="L7" s="13" t="b">
        <x:v>0</x:v>
      </x:c>
      <x:c r="N7" s="13" t="b">
        <x:v>0</x:v>
      </x:c>
      <x:c r="O7" t="s">
        <x:v>18</x:v>
      </x:c>
    </x:row>
    <x:row r="8">
      <x:c r="A8" s="18" t="s">
        <x:v>19</x:v>
      </x:c>
      <x:c r="B8" s="13" t="b">
        <x:v>1</x:v>
      </x:c>
      <x:c r="C8" s="13" t="b">
        <x:v>0</x:v>
      </x:c>
      <x:c r="D8" s="13" t="b">
        <x:v>1</x:v>
      </x:c>
      <x:c r="E8" s="13"/>
      <x:c r="F8" s="13" t="b">
        <x:v>1</x:v>
      </x:c>
      <x:c r="G8" s="13" t="b">
        <x:v>1</x:v>
      </x:c>
      <x:c r="H8" s="13" t="b">
        <x:v>0</x:v>
      </x:c>
      <x:c r="I8" s="13" t="b">
        <x:v>1</x:v>
      </x:c>
      <x:c r="J8" s="13" t="b">
        <x:v>0</x:v>
      </x:c>
      <x:c r="K8" s="13"/>
      <x:c r="L8" s="13" t="b">
        <x:v>0</x:v>
      </x:c>
      <x:c r="N8" s="13" t="b">
        <x:v>0</x:v>
      </x:c>
    </x:row>
    <x:row r="9">
      <x:c r="A9" s="18" t="s">
        <x:v>20</x:v>
      </x:c>
      <x:c r="B9" s="13"/>
      <x:c r="C9" s="13" t="b">
        <x:v>0</x:v>
      </x:c>
      <x:c r="D9" s="13" t="b">
        <x:v>0</x:v>
      </x:c>
      <x:c r="E9" s="13" t="b">
        <x:v>0</x:v>
      </x:c>
      <x:c r="F9" s="13" t="b">
        <x:v>1</x:v>
      </x:c>
      <x:c r="G9" s="13" t="b">
        <x:v>1</x:v>
      </x:c>
      <x:c r="H9" s="13" t="b">
        <x:v>0</x:v>
      </x:c>
      <x:c r="I9" s="13" t="b">
        <x:v>1</x:v>
      </x:c>
      <x:c r="J9" s="13" t="b">
        <x:v>0</x:v>
      </x:c>
      <x:c r="K9" s="13"/>
      <x:c r="L9" s="13" t="b">
        <x:v>0</x:v>
      </x:c>
      <x:c r="N9" s="13" t="b">
        <x:v>0</x:v>
      </x:c>
    </x:row>
    <x:row r="10">
      <x:c r="A10" s="19" t="s">
        <x:v>21</x:v>
      </x:c>
      <x:c r="B10" s="5" t="b">
        <x:v>1</x:v>
      </x:c>
      <x:c r="C10" s="5" t="b">
        <x:v>0</x:v>
      </x:c>
      <x:c r="D10" s="5" t="b">
        <x:v>1</x:v>
      </x:c>
      <x:c r="E10" s="5" t="b">
        <x:v>0</x:v>
      </x:c>
      <x:c r="F10" s="5" t="b">
        <x:v>1</x:v>
      </x:c>
      <x:c r="G10" s="5" t="b">
        <x:v>1</x:v>
      </x:c>
      <x:c r="H10" s="5" t="b">
        <x:v>0</x:v>
      </x:c>
      <x:c r="I10" s="5" t="b">
        <x:v>1</x:v>
      </x:c>
      <x:c r="J10" s="5" t="b">
        <x:v>0</x:v>
      </x:c>
      <x:c r="K10" s="5"/>
      <x:c r="L10" s="5" t="b">
        <x:v>0</x:v>
      </x:c>
      <x:c r="N10" s="5" t="b">
        <x:v>0</x:v>
      </x:c>
    </x:row>
    <x:row r="11">
      <x:c r="A11" s="18" t="s">
        <x:v>22</x:v>
      </x:c>
      <x:c r="B11" s="13" t="b">
        <x:v>1</x:v>
      </x:c>
      <x:c r="C11" s="13" t="b">
        <x:v>0</x:v>
      </x:c>
      <x:c r="D11" s="13" t="b">
        <x:v>1</x:v>
      </x:c>
      <x:c r="E11" s="13" t="b">
        <x:v>0</x:v>
      </x:c>
      <x:c r="F11" s="13" t="b">
        <x:v>1</x:v>
      </x:c>
      <x:c r="G11" s="13" t="b">
        <x:v>1</x:v>
      </x:c>
      <x:c r="H11" s="13" t="b">
        <x:v>0</x:v>
      </x:c>
      <x:c r="I11" s="13" t="b">
        <x:v>1</x:v>
      </x:c>
      <x:c r="J11" s="13" t="b">
        <x:v>0</x:v>
      </x:c>
      <x:c r="K11" s="13"/>
      <x:c r="L11" s="13" t="b">
        <x:v>0</x:v>
      </x:c>
      <x:c r="N11" s="13" t="b">
        <x:v>0</x:v>
      </x:c>
    </x:row>
    <x:row r="12">
      <x:c r="A12" s="19" t="s">
        <x:v>23</x:v>
      </x:c>
      <x:c r="B12" s="5" t="b">
        <x:v>1</x:v>
      </x:c>
      <x:c r="C12" s="5" t="b">
        <x:v>0</x:v>
      </x:c>
      <x:c r="D12" s="5" t="b">
        <x:v>1</x:v>
      </x:c>
      <x:c r="E12" s="5" t="b">
        <x:v>0</x:v>
      </x:c>
      <x:c r="F12" s="5" t="b">
        <x:v>0</x:v>
      </x:c>
      <x:c r="G12" s="5" t="b">
        <x:v>1</x:v>
      </x:c>
      <x:c r="H12" s="5" t="b">
        <x:v>0</x:v>
      </x:c>
      <x:c r="I12" s="5" t="b">
        <x:v>1</x:v>
      </x:c>
      <x:c r="J12" s="5" t="b">
        <x:v>0</x:v>
      </x:c>
      <x:c r="K12" s="5"/>
      <x:c r="L12" s="5" t="b">
        <x:v>0</x:v>
      </x:c>
      <x:c r="N12" s="5" t="b">
        <x:v>0</x:v>
      </x:c>
    </x:row>
    <x:row r="13">
      <x:c r="A13" s="19" t="s">
        <x:v>24</x:v>
      </x:c>
      <x:c r="B13" s="5" t="b">
        <x:v>1</x:v>
      </x:c>
      <x:c r="C13" s="5" t="b">
        <x:v>0</x:v>
      </x:c>
      <x:c r="D13" s="5" t="b">
        <x:v>1</x:v>
      </x:c>
      <x:c r="E13" s="5" t="b">
        <x:v>0</x:v>
      </x:c>
      <x:c r="F13" s="5" t="b">
        <x:v>0</x:v>
      </x:c>
      <x:c r="G13" s="5" t="b">
        <x:v>1</x:v>
      </x:c>
      <x:c r="H13" s="5" t="b">
        <x:v>0</x:v>
      </x:c>
      <x:c r="I13" s="5" t="b">
        <x:v>1</x:v>
      </x:c>
      <x:c r="J13" s="5" t="b">
        <x:v>0</x:v>
      </x:c>
      <x:c r="K13" s="5"/>
      <x:c r="L13" s="5" t="b">
        <x:v>0</x:v>
      </x:c>
      <x:c r="N13" s="5" t="b">
        <x:v>0</x:v>
      </x:c>
    </x:row>
    <x:row r="14">
      <x:c r="A14" s="25" t="s">
        <x:v>25</x:v>
      </x:c>
      <x:c r="B14" s="28" t="b">
        <x:v>0</x:v>
      </x:c>
      <x:c r="C14" s="28" t="b">
        <x:v>0</x:v>
      </x:c>
      <x:c r="D14" s="28" t="b">
        <x:v>0</x:v>
      </x:c>
      <x:c r="E14" s="28" t="b">
        <x:v>0</x:v>
      </x:c>
      <x:c r="F14" s="28" t="b">
        <x:v>0</x:v>
      </x:c>
      <x:c r="G14" s="28" t="b">
        <x:v>0</x:v>
      </x:c>
      <x:c r="H14" s="28" t="b">
        <x:v>0</x:v>
      </x:c>
      <x:c r="I14" s="28" t="b">
        <x:v>0</x:v>
      </x:c>
      <x:c r="J14" s="28" t="b">
        <x:v>0</x:v>
      </x:c>
      <x:c r="K14" s="28"/>
      <x:c r="L14" s="28" t="b">
        <x:v>0</x:v>
      </x:c>
      <x:c r="N14" s="5" t="b">
        <x:v>0</x:v>
      </x:c>
    </x:row>
    <x:row r="15">
      <x:c r="A15" s="18" t="s">
        <x:v>26</x:v>
      </x:c>
      <x:c r="B15" s="13" t="b">
        <x:v>1</x:v>
      </x:c>
      <x:c r="C15" s="13" t="b">
        <x:v>0</x:v>
      </x:c>
      <x:c r="D15" s="13" t="b">
        <x:v>0</x:v>
      </x:c>
      <x:c r="E15" s="13" t="b">
        <x:v>0</x:v>
      </x:c>
      <x:c r="F15" s="13" t="b">
        <x:v>1</x:v>
      </x:c>
      <x:c r="G15" s="13" t="b">
        <x:v>0</x:v>
      </x:c>
      <x:c r="H15" s="13" t="b">
        <x:v>0</x:v>
      </x:c>
      <x:c r="I15" s="13" t="b">
        <x:v>0</x:v>
      </x:c>
      <x:c r="J15" s="13" t="b">
        <x:v>0</x:v>
      </x:c>
      <x:c r="K15" s="13"/>
      <x:c r="L15" s="13" t="b">
        <x:v>0</x:v>
      </x:c>
      <x:c r="N15" s="7" t="b">
        <x:v>0</x:v>
      </x:c>
    </x:row>
    <x:row r="16">
      <x:c r="A16" s="18" t="s">
        <x:v>27</x:v>
      </x:c>
      <x:c r="B16" s="13" t="b">
        <x:v>1</x:v>
      </x:c>
      <x:c r="C16" s="13" t="b">
        <x:v>0</x:v>
      </x:c>
      <x:c r="D16" s="13" t="b">
        <x:v>0</x:v>
      </x:c>
      <x:c r="E16" s="13" t="b">
        <x:v>0</x:v>
      </x:c>
      <x:c r="F16" s="13" t="b">
        <x:v>1</x:v>
      </x:c>
      <x:c r="G16" s="13" t="b">
        <x:v>0</x:v>
      </x:c>
      <x:c r="H16" s="13" t="b">
        <x:v>0</x:v>
      </x:c>
      <x:c r="I16" s="13" t="b">
        <x:v>0</x:v>
      </x:c>
      <x:c r="J16" s="13" t="b">
        <x:v>0</x:v>
      </x:c>
      <x:c r="K16" s="13"/>
      <x:c r="L16" s="13" t="b">
        <x:v>0</x:v>
      </x:c>
      <x:c r="N16" s="7" t="b">
        <x:v>0</x:v>
      </x:c>
    </x:row>
    <x:row r="17" s="4" customFormat="1">
      <x:c r="A17" s="18" t="s">
        <x:v>28</x:v>
      </x:c>
      <x:c r="B17" s="13" t="b">
        <x:v>0</x:v>
      </x:c>
      <x:c r="C17" s="13" t="b">
        <x:v>0</x:v>
      </x:c>
      <x:c r="D17" s="13" t="b">
        <x:v>0</x:v>
      </x:c>
      <x:c r="E17" s="13" t="b">
        <x:v>0</x:v>
      </x:c>
      <x:c r="F17" s="13" t="b">
        <x:v>1</x:v>
      </x:c>
      <x:c r="G17" s="13" t="b">
        <x:v>0</x:v>
      </x:c>
      <x:c r="H17" s="13" t="b">
        <x:v>0</x:v>
      </x:c>
      <x:c r="I17" s="13" t="b">
        <x:v>0</x:v>
      </x:c>
      <x:c r="J17" s="13" t="b">
        <x:v>0</x:v>
      </x:c>
      <x:c r="K17" s="13"/>
      <x:c r="L17" s="13" t="b">
        <x:v>0</x:v>
      </x:c>
      <x:c r="M17"/>
      <x:c r="N17" s="7" t="b">
        <x:v>0</x:v>
      </x:c>
    </x:row>
    <x:row r="18">
      <x:c r="A18" s="19" t="s">
        <x:v>29</x:v>
      </x:c>
      <x:c r="B18" s="5" t="b">
        <x:v>1</x:v>
      </x:c>
      <x:c r="C18" s="5" t="b">
        <x:v>1</x:v>
      </x:c>
      <x:c r="D18" s="5" t="b">
        <x:v>1</x:v>
      </x:c>
      <x:c r="E18" s="5" t="b">
        <x:v>0</x:v>
      </x:c>
      <x:c r="F18" s="5" t="b">
        <x:v>0</x:v>
      </x:c>
      <x:c r="G18" s="5" t="b">
        <x:v>0</x:v>
      </x:c>
      <x:c r="H18" s="5" t="b">
        <x:v>0</x:v>
      </x:c>
      <x:c r="I18" s="5" t="b">
        <x:v>1</x:v>
      </x:c>
      <x:c r="J18" s="5" t="b">
        <x:v>0</x:v>
      </x:c>
      <x:c r="K18" s="5"/>
      <x:c r="L18" s="5" t="b">
        <x:v>0</x:v>
      </x:c>
      <x:c r="N18" s="5" t="b">
        <x:v>0</x:v>
      </x:c>
    </x:row>
    <x:row r="19">
      <x:c r="A19" s="19" t="s">
        <x:v>30</x:v>
      </x:c>
      <x:c r="B19" s="5" t="b">
        <x:v>1</x:v>
      </x:c>
      <x:c r="C19" s="5" t="b">
        <x:v>1</x:v>
      </x:c>
      <x:c r="D19" s="5" t="b">
        <x:v>1</x:v>
      </x:c>
      <x:c r="E19" s="5" t="b">
        <x:v>0</x:v>
      </x:c>
      <x:c r="F19" s="5" t="b">
        <x:v>0</x:v>
      </x:c>
      <x:c r="G19" s="5" t="b">
        <x:v>0</x:v>
      </x:c>
      <x:c r="H19" s="5" t="b">
        <x:v>0</x:v>
      </x:c>
      <x:c r="I19" s="5" t="b">
        <x:v>1</x:v>
      </x:c>
      <x:c r="J19" s="5" t="b">
        <x:v>0</x:v>
      </x:c>
      <x:c r="K19" s="5"/>
      <x:c r="L19" s="5" t="b">
        <x:v>0</x:v>
      </x:c>
      <x:c r="N19" s="5" t="b">
        <x:v>0</x:v>
      </x:c>
    </x:row>
    <x:row r="20">
      <x:c r="A20" s="25" t="s">
        <x:v>31</x:v>
      </x:c>
      <x:c r="B20" s="28" t="b">
        <x:v>0</x:v>
      </x:c>
      <x:c r="C20" s="28" t="b">
        <x:v>0</x:v>
      </x:c>
      <x:c r="D20" s="28" t="b">
        <x:v>0</x:v>
      </x:c>
      <x:c r="E20" s="28" t="b">
        <x:v>0</x:v>
      </x:c>
      <x:c r="F20" s="28" t="b">
        <x:v>0</x:v>
      </x:c>
      <x:c r="G20" s="28" t="b">
        <x:v>0</x:v>
      </x:c>
      <x:c r="H20" s="28" t="b">
        <x:v>0</x:v>
      </x:c>
      <x:c r="I20" s="28" t="b">
        <x:v>0</x:v>
      </x:c>
      <x:c r="J20" s="28" t="b">
        <x:v>0</x:v>
      </x:c>
      <x:c r="K20" s="28"/>
      <x:c r="L20" s="28" t="b">
        <x:v>0</x:v>
      </x:c>
      <x:c r="N20" s="5" t="b">
        <x:v>0</x:v>
      </x:c>
    </x:row>
    <x:row r="21">
      <x:c r="A21" s="18" t="s">
        <x:v>32</x:v>
      </x:c>
      <x:c r="B21" s="13" t="b">
        <x:v>1</x:v>
      </x:c>
      <x:c r="C21" s="13" t="b">
        <x:v>1</x:v>
      </x:c>
      <x:c r="D21" s="13" t="b">
        <x:v>0</x:v>
      </x:c>
      <x:c r="E21" s="13" t="b">
        <x:v>0</x:v>
      </x:c>
      <x:c r="F21" s="13" t="b">
        <x:v>1</x:v>
      </x:c>
      <x:c r="G21" s="13" t="b">
        <x:v>1</x:v>
      </x:c>
      <x:c r="H21" s="13" t="b">
        <x:v>0</x:v>
      </x:c>
      <x:c r="I21" s="13" t="b">
        <x:v>0</x:v>
      </x:c>
      <x:c r="J21" s="13" t="b">
        <x:v>1</x:v>
      </x:c>
      <x:c r="K21" s="13"/>
      <x:c r="L21" s="13" t="b">
        <x:v>0</x:v>
      </x:c>
      <x:c r="N21" s="7" t="b">
        <x:v>0</x:v>
      </x:c>
    </x:row>
    <x:row r="22">
      <x:c r="A22" s="22" t="s">
        <x:v>33</x:v>
      </x:c>
      <x:c r="B22" s="13" t="b">
        <x:v>1</x:v>
      </x:c>
      <x:c r="C22" s="13" t="b">
        <x:v>1</x:v>
      </x:c>
      <x:c r="D22" s="13" t="b">
        <x:v>0</x:v>
      </x:c>
      <x:c r="E22" s="13" t="b">
        <x:v>0</x:v>
      </x:c>
      <x:c r="F22" s="13" t="b">
        <x:v>1</x:v>
      </x:c>
      <x:c r="G22" s="13" t="b">
        <x:v>1</x:v>
      </x:c>
      <x:c r="H22" s="13" t="b">
        <x:v>0</x:v>
      </x:c>
      <x:c r="I22" s="13" t="b">
        <x:v>0</x:v>
      </x:c>
      <x:c r="J22" s="13" t="b">
        <x:v>1</x:v>
      </x:c>
      <x:c r="K22" s="13"/>
      <x:c r="L22" s="13" t="b">
        <x:v>0</x:v>
      </x:c>
      <x:c r="N22" s="7" t="b">
        <x:v>0</x:v>
      </x:c>
    </x:row>
    <x:row r="23">
      <x:c r="A23" s="23" t="s">
        <x:v>34</x:v>
      </x:c>
      <x:c r="B23" s="13" t="b">
        <x:v>1</x:v>
      </x:c>
      <x:c r="C23" s="13" t="b">
        <x:v>1</x:v>
      </x:c>
      <x:c r="D23" s="13" t="b">
        <x:v>0</x:v>
      </x:c>
      <x:c r="E23" s="13" t="b">
        <x:v>0</x:v>
      </x:c>
      <x:c r="F23" s="13" t="b">
        <x:v>1</x:v>
      </x:c>
      <x:c r="G23" s="13" t="b">
        <x:v>1</x:v>
      </x:c>
      <x:c r="H23" s="13" t="b">
        <x:v>0</x:v>
      </x:c>
      <x:c r="I23" s="13" t="b">
        <x:v>0</x:v>
      </x:c>
      <x:c r="J23" s="13" t="b">
        <x:v>1</x:v>
      </x:c>
      <x:c r="K23" s="13"/>
      <x:c r="L23" s="13" t="b">
        <x:v>0</x:v>
      </x:c>
      <x:c r="N23" s="7" t="b">
        <x:v>0</x:v>
      </x:c>
    </x:row>
    <x:row r="24">
      <x:c r="A24" s="19" t="s">
        <x:v>35</x:v>
      </x:c>
      <x:c r="B24" s="5" t="b">
        <x:v>1</x:v>
      </x:c>
      <x:c r="C24" s="5" t="b">
        <x:v>1</x:v>
      </x:c>
      <x:c r="D24" s="5" t="b">
        <x:v>1</x:v>
      </x:c>
      <x:c r="E24" s="5" t="b">
        <x:v>1</x:v>
      </x:c>
      <x:c r="F24" s="5" t="b">
        <x:v>1</x:v>
      </x:c>
      <x:c r="G24" s="5" t="b">
        <x:v>1</x:v>
      </x:c>
      <x:c r="H24" s="5" t="b">
        <x:v>0</x:v>
      </x:c>
      <x:c r="I24" s="5" t="b">
        <x:v>1</x:v>
      </x:c>
      <x:c r="J24" s="5" t="b">
        <x:v>0</x:v>
      </x:c>
      <x:c r="K24" s="5"/>
      <x:c r="L24" s="5" t="b">
        <x:v>0</x:v>
      </x:c>
      <x:c r="N24" s="5" t="b">
        <x:v>0</x:v>
      </x:c>
    </x:row>
    <x:row r="25">
      <x:c r="A25" s="19" t="s">
        <x:v>36</x:v>
      </x:c>
      <x:c r="B25" s="5" t="b">
        <x:v>1</x:v>
      </x:c>
      <x:c r="C25" s="5" t="b">
        <x:v>1</x:v>
      </x:c>
      <x:c r="D25" s="5" t="b">
        <x:v>1</x:v>
      </x:c>
      <x:c r="E25" s="5" t="b">
        <x:v>1</x:v>
      </x:c>
      <x:c r="F25" s="5" t="b">
        <x:v>1</x:v>
      </x:c>
      <x:c r="G25" s="5" t="b">
        <x:v>1</x:v>
      </x:c>
      <x:c r="H25" s="5" t="b">
        <x:v>0</x:v>
      </x:c>
      <x:c r="I25" s="5" t="b">
        <x:v>1</x:v>
      </x:c>
      <x:c r="J25" s="5" t="b">
        <x:v>0</x:v>
      </x:c>
      <x:c r="K25" s="5"/>
      <x:c r="L25" s="5" t="b">
        <x:v>0</x:v>
      </x:c>
      <x:c r="N25" s="5" t="b">
        <x:v>0</x:v>
      </x:c>
    </x:row>
    <x:row r="26">
      <x:c r="A26" s="18" t="s">
        <x:v>37</x:v>
      </x:c>
      <x:c r="B26" s="7" t="b">
        <x:v>1</x:v>
      </x:c>
      <x:c r="C26" s="7" t="b">
        <x:v>1</x:v>
      </x:c>
      <x:c r="D26" s="7" t="b">
        <x:v>0</x:v>
      </x:c>
      <x:c r="E26" s="7" t="b">
        <x:v>0</x:v>
      </x:c>
      <x:c r="F26" s="7" t="b">
        <x:v>0</x:v>
      </x:c>
      <x:c r="G26" s="7" t="b">
        <x:v>1</x:v>
      </x:c>
      <x:c r="H26" s="7" t="b">
        <x:v>0</x:v>
      </x:c>
      <x:c r="I26" s="7" t="b">
        <x:v>0</x:v>
      </x:c>
      <x:c r="J26" s="7" t="b">
        <x:v>1</x:v>
      </x:c>
      <x:c r="K26" s="7"/>
      <x:c r="L26" s="7" t="b">
        <x:v>0</x:v>
      </x:c>
      <x:c r="N26" s="7" t="b">
        <x:v>0</x:v>
      </x:c>
    </x:row>
    <x:row r="27">
      <x:c r="A27" s="18" t="s">
        <x:v>38</x:v>
      </x:c>
      <x:c r="B27" s="7" t="b">
        <x:v>1</x:v>
      </x:c>
      <x:c r="C27" s="7" t="b">
        <x:v>1</x:v>
      </x:c>
      <x:c r="D27" s="7" t="b">
        <x:v>0</x:v>
      </x:c>
      <x:c r="E27" s="7" t="b">
        <x:v>0</x:v>
      </x:c>
      <x:c r="F27" s="7" t="b">
        <x:v>0</x:v>
      </x:c>
      <x:c r="G27" s="7" t="b">
        <x:v>1</x:v>
      </x:c>
      <x:c r="H27" s="7" t="b">
        <x:v>0</x:v>
      </x:c>
      <x:c r="I27" s="7" t="b">
        <x:v>0</x:v>
      </x:c>
      <x:c r="J27" s="7" t="b">
        <x:v>1</x:v>
      </x:c>
      <x:c r="K27" s="7"/>
      <x:c r="L27" s="7" t="b">
        <x:v>0</x:v>
      </x:c>
      <x:c r="N27" s="7" t="b">
        <x:v>0</x:v>
      </x:c>
    </x:row>
    <x:row r="28">
      <x:c r="A28" s="22" t="s">
        <x:v>39</x:v>
      </x:c>
      <x:c r="B28" s="7" t="b">
        <x:v>0</x:v>
      </x:c>
      <x:c r="C28" s="36" t="b">
        <x:v>1</x:v>
      </x:c>
      <x:c r="D28" s="7" t="b">
        <x:v>0</x:v>
      </x:c>
      <x:c r="E28" s="7" t="b">
        <x:v>0</x:v>
      </x:c>
      <x:c r="F28" s="7" t="b">
        <x:v>0</x:v>
      </x:c>
      <x:c r="G28" s="7" t="b">
        <x:v>0</x:v>
      </x:c>
      <x:c r="H28" s="7" t="b">
        <x:v>0</x:v>
      </x:c>
      <x:c r="I28" s="7" t="b">
        <x:v>0</x:v>
      </x:c>
      <x:c r="J28" s="7" t="b">
        <x:v>1</x:v>
      </x:c>
      <x:c r="K28" s="7"/>
      <x:c r="L28" s="7" t="b">
        <x:v>0</x:v>
      </x:c>
      <x:c r="N28" s="7" t="b">
        <x:v>0</x:v>
      </x:c>
      <x:c r="O28" t="n">
        <x:f>SUM(O3:O22)</x:f>
        <x:v>0</x:v>
      </x:c>
    </x:row>
    <x:row r="29">
      <x:c r="A29" s="23" t="s">
        <x:v>40</x:v>
      </x:c>
      <x:c r="B29" s="7" t="b">
        <x:v>0</x:v>
      </x:c>
      <x:c r="C29" s="36" t="b">
        <x:v>1</x:v>
      </x:c>
      <x:c r="D29" s="7" t="b">
        <x:v>0</x:v>
      </x:c>
      <x:c r="E29" s="7" t="b">
        <x:v>0</x:v>
      </x:c>
      <x:c r="F29" s="7" t="b">
        <x:v>0</x:v>
      </x:c>
      <x:c r="G29" s="7" t="b">
        <x:v>0</x:v>
      </x:c>
      <x:c r="H29" s="7" t="b">
        <x:v>0</x:v>
      </x:c>
      <x:c r="I29" s="7" t="b">
        <x:v>0</x:v>
      </x:c>
      <x:c r="J29" s="7" t="b">
        <x:v>0</x:v>
      </x:c>
      <x:c r="K29" s="7"/>
      <x:c r="L29" s="7" t="b">
        <x:v>0</x:v>
      </x:c>
      <x:c r="N29" s="7" t="b">
        <x:v>0</x:v>
      </x:c>
    </x:row>
    <x:row r="30">
      <x:c r="A30" s="20" t="s">
        <x:v>41</x:v>
      </x:c>
      <x:c r="B30" s="6" t="b">
        <x:v>1</x:v>
      </x:c>
      <x:c r="C30" s="6" t="b">
        <x:v>1</x:v>
      </x:c>
      <x:c r="D30" s="6" t="b">
        <x:v>0</x:v>
      </x:c>
      <x:c r="E30" s="6" t="b">
        <x:v>0</x:v>
      </x:c>
      <x:c r="F30" s="6" t="b">
        <x:v>1</x:v>
      </x:c>
      <x:c r="G30" s="6" t="b">
        <x:v>0</x:v>
      </x:c>
      <x:c r="H30" s="6" t="b">
        <x:v>0</x:v>
      </x:c>
      <x:c r="I30" s="6" t="b">
        <x:v>0</x:v>
      </x:c>
      <x:c r="J30" s="6" t="b">
        <x:v>1</x:v>
      </x:c>
      <x:c r="K30" s="6"/>
      <x:c r="L30" s="6" t="b">
        <x:v>0</x:v>
      </x:c>
      <x:c r="N30" s="6" t="b">
        <x:v>0</x:v>
      </x:c>
    </x:row>
    <x:row r="31">
      <x:c r="A31" s="21" t="s">
        <x:v>42</x:v>
      </x:c>
      <x:c r="B31" s="6" t="b">
        <x:v>1</x:v>
      </x:c>
      <x:c r="C31" s="6" t="b">
        <x:v>1</x:v>
      </x:c>
      <x:c r="D31" s="6" t="b">
        <x:v>0</x:v>
      </x:c>
      <x:c r="E31" s="6" t="b">
        <x:v>0</x:v>
      </x:c>
      <x:c r="F31" s="6" t="b">
        <x:v>1</x:v>
      </x:c>
      <x:c r="G31" s="6" t="b">
        <x:v>0</x:v>
      </x:c>
      <x:c r="H31" s="6" t="b">
        <x:v>0</x:v>
      </x:c>
      <x:c r="I31" s="6" t="b">
        <x:v>0</x:v>
      </x:c>
      <x:c r="J31" s="6" t="b">
        <x:v>1</x:v>
      </x:c>
      <x:c r="K31" s="6"/>
      <x:c r="L31" s="6" t="b">
        <x:v>0</x:v>
      </x:c>
      <x:c r="N31" s="6" t="b">
        <x:v>0</x:v>
      </x:c>
    </x:row>
    <x:row r="32">
      <x:c r="A32" s="19" t="s">
        <x:v>43</x:v>
      </x:c>
      <x:c r="B32" s="5" t="b">
        <x:v>0</x:v>
      </x:c>
      <x:c r="C32" s="5" t="b">
        <x:v>1</x:v>
      </x:c>
      <x:c r="D32" s="5" t="b">
        <x:v>0</x:v>
      </x:c>
      <x:c r="E32" s="5" t="b">
        <x:v>0</x:v>
      </x:c>
      <x:c r="F32" s="5" t="b">
        <x:v>0</x:v>
      </x:c>
      <x:c r="G32" s="5" t="b">
        <x:v>0</x:v>
      </x:c>
      <x:c r="H32" s="5" t="b">
        <x:v>0</x:v>
      </x:c>
      <x:c r="I32" s="5" t="b">
        <x:v>0</x:v>
      </x:c>
      <x:c r="J32" s="5" t="b">
        <x:v>0</x:v>
      </x:c>
      <x:c r="K32" s="5"/>
      <x:c r="L32" s="5" t="b">
        <x:v>0</x:v>
      </x:c>
      <x:c r="N32" s="6" t="b">
        <x:v>0</x:v>
      </x:c>
    </x:row>
    <x:row r="33">
      <x:c r="A33" s="26" t="s">
        <x:v>44</x:v>
      </x:c>
      <x:c r="B33" s="27" t="b">
        <x:v>0</x:v>
      </x:c>
      <x:c r="C33" s="27" t="b">
        <x:v>1</x:v>
      </x:c>
      <x:c r="D33" s="27" t="b">
        <x:v>0</x:v>
      </x:c>
      <x:c r="E33" s="27" t="b">
        <x:v>0</x:v>
      </x:c>
      <x:c r="F33" s="27" t="b">
        <x:v>0</x:v>
      </x:c>
      <x:c r="G33" s="27" t="b">
        <x:v>0</x:v>
      </x:c>
      <x:c r="H33" s="27" t="b">
        <x:v>0</x:v>
      </x:c>
      <x:c r="I33" s="27" t="b">
        <x:v>0</x:v>
      </x:c>
      <x:c r="J33" s="27" t="b">
        <x:v>0</x:v>
      </x:c>
      <x:c r="K33" s="27"/>
      <x:c r="L33" s="27" t="b">
        <x:v>0</x:v>
      </x:c>
      <x:c r="N33" s="6" t="b">
        <x:v>0</x:v>
      </x:c>
      <x:c r="O33" s="3">
        <x:v>46276</x:v>
      </x:c>
    </x:row>
    <x:row r="34">
      <x:c r="A34" s="18" t="s">
        <x:v>45</x:v>
      </x:c>
      <x:c r="B34" s="7" t="b">
        <x:v>1</x:v>
      </x:c>
      <x:c r="C34" s="7" t="b">
        <x:v>1</x:v>
      </x:c>
      <x:c r="D34" s="7" t="b">
        <x:v>0</x:v>
      </x:c>
      <x:c r="E34" s="7" t="b">
        <x:v>1</x:v>
      </x:c>
      <x:c r="F34" s="7" t="b">
        <x:v>1</x:v>
      </x:c>
      <x:c r="G34" s="7" t="b">
        <x:v>1</x:v>
      </x:c>
      <x:c r="H34" s="7" t="b">
        <x:v>0</x:v>
      </x:c>
      <x:c r="I34" s="7" t="b">
        <x:v>1</x:v>
      </x:c>
      <x:c r="J34" s="7" t="b">
        <x:v>1</x:v>
      </x:c>
      <x:c r="K34" s="7"/>
      <x:c r="L34" s="7" t="b">
        <x:v>0</x:v>
      </x:c>
      <x:c r="N34" s="7" t="b">
        <x:v>0</x:v>
      </x:c>
    </x:row>
    <x:row r="35">
      <x:c r="A35" s="18" t="s">
        <x:v>46</x:v>
      </x:c>
      <x:c r="B35" s="7" t="b">
        <x:v>1</x:v>
      </x:c>
      <x:c r="C35" s="7" t="b">
        <x:v>1</x:v>
      </x:c>
      <x:c r="D35" s="7" t="b">
        <x:v>0</x:v>
      </x:c>
      <x:c r="E35" s="7" t="b">
        <x:v>1</x:v>
      </x:c>
      <x:c r="F35" s="7" t="b">
        <x:v>1</x:v>
      </x:c>
      <x:c r="G35" s="7" t="b">
        <x:v>1</x:v>
      </x:c>
      <x:c r="H35" s="7" t="b">
        <x:v>0</x:v>
      </x:c>
      <x:c r="I35" s="7" t="b">
        <x:v>1</x:v>
      </x:c>
      <x:c r="J35" s="7" t="b">
        <x:v>1</x:v>
      </x:c>
      <x:c r="K35" s="7"/>
      <x:c r="L35" s="7" t="b">
        <x:v>0</x:v>
      </x:c>
      <x:c r="N35" s="7" t="b">
        <x:v>0</x:v>
      </x:c>
    </x:row>
    <x:row r="36">
      <x:c r="A36" s="18" t="s">
        <x:v>47</x:v>
      </x:c>
      <x:c r="B36" s="7" t="b">
        <x:v>1</x:v>
      </x:c>
      <x:c r="C36" s="7" t="b">
        <x:v>1</x:v>
      </x:c>
      <x:c r="D36" s="7" t="b">
        <x:v>0</x:v>
      </x:c>
      <x:c r="E36" s="7" t="b">
        <x:v>1</x:v>
      </x:c>
      <x:c r="F36" s="7" t="b">
        <x:v>1</x:v>
      </x:c>
      <x:c r="G36" s="7" t="b">
        <x:v>1</x:v>
      </x:c>
      <x:c r="H36" s="7" t="b">
        <x:v>0</x:v>
      </x:c>
      <x:c r="I36" s="7" t="b">
        <x:v>1</x:v>
      </x:c>
      <x:c r="J36" s="7" t="b">
        <x:v>1</x:v>
      </x:c>
      <x:c r="K36" s="7"/>
      <x:c r="L36" s="7" t="b">
        <x:v>0</x:v>
      </x:c>
      <x:c r="N36" s="7" t="b">
        <x:v>0</x:v>
      </x:c>
    </x:row>
    <x:row r="37">
      <x:c r="A37" s="37" t="s">
        <x:v>48</x:v>
      </x:c>
      <x:c r="B37" s="7" t="b">
        <x:v>0</x:v>
      </x:c>
      <x:c r="C37" s="7" t="b">
        <x:v>1</x:v>
      </x:c>
      <x:c r="D37" s="7" t="b">
        <x:v>0</x:v>
      </x:c>
      <x:c r="E37" s="7" t="b">
        <x:v>1</x:v>
      </x:c>
      <x:c r="F37" s="38" t="b">
        <x:v>1</x:v>
      </x:c>
      <x:c r="G37" s="38" t="b">
        <x:v>0</x:v>
      </x:c>
      <x:c r="H37" s="7" t="b">
        <x:v>0</x:v>
      </x:c>
      <x:c r="I37" s="7" t="b">
        <x:v>0</x:v>
      </x:c>
      <x:c r="J37" s="38" t="b">
        <x:v>1</x:v>
      </x:c>
      <x:c r="K37" s="7"/>
      <x:c r="L37" s="7" t="b">
        <x:v>0</x:v>
      </x:c>
      <x:c r="N37" s="7" t="b">
        <x:v>0</x:v>
      </x:c>
    </x:row>
    <x:row r="38">
      <x:c r="A38" s="19" t="s">
        <x:v>49</x:v>
      </x:c>
      <x:c r="B38" s="5" t="b">
        <x:v>1</x:v>
      </x:c>
      <x:c r="C38" s="5" t="b">
        <x:v>1</x:v>
      </x:c>
      <x:c r="D38" s="5" t="b">
        <x:v>1</x:v>
      </x:c>
      <x:c r="E38" s="5" t="b">
        <x:v>1</x:v>
      </x:c>
      <x:c r="F38" s="5" t="b">
        <x:v>1</x:v>
      </x:c>
      <x:c r="G38" s="5" t="b">
        <x:v>1</x:v>
      </x:c>
      <x:c r="H38" s="5" t="b">
        <x:v>0</x:v>
      </x:c>
      <x:c r="I38" s="5" t="b">
        <x:v>1</x:v>
      </x:c>
      <x:c r="J38" s="5" t="b">
        <x:v>1</x:v>
      </x:c>
      <x:c r="K38" s="5"/>
      <x:c r="L38" s="5" t="b">
        <x:v>0</x:v>
      </x:c>
      <x:c r="N38" s="5" t="b">
        <x:v>0</x:v>
      </x:c>
    </x:row>
    <x:row r="39">
      <x:c r="A39" s="19" t="s">
        <x:v>50</x:v>
      </x:c>
      <x:c r="B39" s="5" t="b">
        <x:v>1</x:v>
      </x:c>
      <x:c r="C39" s="5" t="b">
        <x:v>1</x:v>
      </x:c>
      <x:c r="D39" s="5" t="b">
        <x:v>0</x:v>
      </x:c>
      <x:c r="E39" s="5" t="b">
        <x:v>1</x:v>
      </x:c>
      <x:c r="F39" s="5" t="b">
        <x:v>0</x:v>
      </x:c>
      <x:c r="G39" s="5" t="b">
        <x:v>1</x:v>
      </x:c>
      <x:c r="H39" s="5" t="b">
        <x:v>0</x:v>
      </x:c>
      <x:c r="I39" s="5" t="b">
        <x:v>1</x:v>
      </x:c>
      <x:c r="J39" s="5" t="b">
        <x:v>1</x:v>
      </x:c>
      <x:c r="K39" s="5"/>
      <x:c r="L39" s="5" t="b">
        <x:v>0</x:v>
      </x:c>
      <x:c r="N39" s="5" t="b">
        <x:v>0</x:v>
      </x:c>
    </x:row>
    <x:row r="40">
      <x:c r="A40" s="18" t="s">
        <x:v>51</x:v>
      </x:c>
      <x:c r="B40" s="7" t="b">
        <x:v>1</x:v>
      </x:c>
      <x:c r="C40" s="7" t="b">
        <x:v>1</x:v>
      </x:c>
      <x:c r="D40" s="7" t="b">
        <x:v>1</x:v>
      </x:c>
      <x:c r="E40" s="7" t="b">
        <x:v>1</x:v>
      </x:c>
      <x:c r="F40" s="7" t="b">
        <x:v>0</x:v>
      </x:c>
      <x:c r="G40" s="7" t="b">
        <x:v>1</x:v>
      </x:c>
      <x:c r="H40" s="7" t="b">
        <x:v>0</x:v>
      </x:c>
      <x:c r="I40" s="7" t="b">
        <x:v>1</x:v>
      </x:c>
      <x:c r="J40" s="7" t="b">
        <x:v>1</x:v>
      </x:c>
      <x:c r="K40" s="7"/>
      <x:c r="L40" s="7" t="b">
        <x:v>0</x:v>
      </x:c>
      <x:c r="N40" s="7" t="b">
        <x:v>0</x:v>
      </x:c>
    </x:row>
    <x:row r="41">
      <x:c r="A41" s="18" t="s">
        <x:v>52</x:v>
      </x:c>
      <x:c r="B41" s="7" t="b">
        <x:v>1</x:v>
      </x:c>
      <x:c r="C41" s="7" t="b">
        <x:v>0</x:v>
      </x:c>
      <x:c r="D41" s="7" t="b">
        <x:v>1</x:v>
      </x:c>
      <x:c r="E41" s="7" t="b">
        <x:v>1</x:v>
      </x:c>
      <x:c r="F41" s="7" t="b">
        <x:v>0</x:v>
      </x:c>
      <x:c r="G41" s="7" t="b">
        <x:v>1</x:v>
      </x:c>
      <x:c r="H41" s="7" t="b">
        <x:v>0</x:v>
      </x:c>
      <x:c r="I41" s="7" t="b">
        <x:v>1</x:v>
      </x:c>
      <x:c r="J41" s="7" t="b">
        <x:v>1</x:v>
      </x:c>
      <x:c r="K41" s="7"/>
      <x:c r="L41" s="7" t="b">
        <x:v>0</x:v>
      </x:c>
      <x:c r="N41" s="7" t="b">
        <x:v>0</x:v>
      </x:c>
    </x:row>
    <x:row r="42">
      <x:c r="A42" s="24" t="s">
        <x:v>53</x:v>
      </x:c>
      <x:c r="B42" s="5" t="b">
        <x:v>1</x:v>
      </x:c>
      <x:c r="C42" s="5" t="b">
        <x:v>0</x:v>
      </x:c>
      <x:c r="D42" s="5" t="b">
        <x:v>1</x:v>
      </x:c>
      <x:c r="E42" s="5" t="b">
        <x:v>1</x:v>
      </x:c>
      <x:c r="F42" s="5" t="b">
        <x:v>1</x:v>
      </x:c>
      <x:c r="G42" s="5" t="b">
        <x:v>1</x:v>
      </x:c>
      <x:c r="H42" s="5" t="b">
        <x:v>1</x:v>
      </x:c>
      <x:c r="I42" s="5" t="b">
        <x:v>1</x:v>
      </x:c>
      <x:c r="J42" s="5" t="b">
        <x:v>1</x:v>
      </x:c>
      <x:c r="K42" s="5"/>
      <x:c r="L42" s="5" t="b">
        <x:v>0</x:v>
      </x:c>
      <x:c r="N42" s="5" t="b">
        <x:v>0</x:v>
      </x:c>
    </x:row>
    <x:row r="43">
      <x:c r="A43" s="24" t="s">
        <x:v>54</x:v>
      </x:c>
      <x:c r="B43" s="5" t="b">
        <x:v>1</x:v>
      </x:c>
      <x:c r="C43" s="5" t="b">
        <x:v>0</x:v>
      </x:c>
      <x:c r="D43" s="5" t="b">
        <x:v>1</x:v>
      </x:c>
      <x:c r="E43" s="5" t="b">
        <x:v>1</x:v>
      </x:c>
      <x:c r="F43" s="5" t="b">
        <x:v>1</x:v>
      </x:c>
      <x:c r="G43" s="5" t="b">
        <x:v>1</x:v>
      </x:c>
      <x:c r="H43" s="5" t="b">
        <x:v>1</x:v>
      </x:c>
      <x:c r="I43" s="5" t="b">
        <x:v>1</x:v>
      </x:c>
      <x:c r="J43" s="5" t="b">
        <x:v>1</x:v>
      </x:c>
      <x:c r="K43" s="5"/>
      <x:c r="L43" s="5" t="b">
        <x:v>0</x:v>
      </x:c>
      <x:c r="N43" s="5" t="b">
        <x:v>0</x:v>
      </x:c>
    </x:row>
    <x:row r="44">
      <x:c r="A44" s="18" t="s">
        <x:v>55</x:v>
      </x:c>
      <x:c r="B44" s="7" t="b">
        <x:v>1</x:v>
      </x:c>
      <x:c r="C44" s="7" t="b">
        <x:v>1</x:v>
      </x:c>
      <x:c r="D44" s="7" t="b">
        <x:v>1</x:v>
      </x:c>
      <x:c r="E44" s="7" t="b">
        <x:v>1</x:v>
      </x:c>
      <x:c r="F44" s="7" t="b">
        <x:v>1</x:v>
      </x:c>
      <x:c r="G44" s="7" t="b">
        <x:v>1</x:v>
      </x:c>
      <x:c r="H44" s="7" t="b">
        <x:v>0</x:v>
      </x:c>
      <x:c r="I44" s="7" t="b">
        <x:v>1</x:v>
      </x:c>
      <x:c r="J44" s="7" t="b">
        <x:v>1</x:v>
      </x:c>
      <x:c r="K44" s="7"/>
      <x:c r="L44" s="7" t="b">
        <x:v>0</x:v>
      </x:c>
      <x:c r="N44" s="7" t="b">
        <x:v>0</x:v>
      </x:c>
    </x:row>
    <x:row r="45">
      <x:c r="A45" s="18" t="s">
        <x:v>56</x:v>
      </x:c>
      <x:c r="B45" s="7" t="b">
        <x:v>1</x:v>
      </x:c>
      <x:c r="C45" s="7" t="b">
        <x:v>1</x:v>
      </x:c>
      <x:c r="D45" s="7" t="b">
        <x:v>1</x:v>
      </x:c>
      <x:c r="E45" s="7" t="b">
        <x:v>1</x:v>
      </x:c>
      <x:c r="F45" s="7" t="b">
        <x:v>1</x:v>
      </x:c>
      <x:c r="G45" s="7" t="b">
        <x:v>1</x:v>
      </x:c>
      <x:c r="H45" s="7" t="b">
        <x:v>0</x:v>
      </x:c>
      <x:c r="I45" s="7" t="b">
        <x:v>1</x:v>
      </x:c>
      <x:c r="J45" s="7" t="b">
        <x:v>1</x:v>
      </x:c>
      <x:c r="K45" s="7"/>
      <x:c r="L45" s="7" t="b">
        <x:v>0</x:v>
      </x:c>
      <x:c r="N45" s="7" t="b">
        <x:v>0</x:v>
      </x:c>
    </x:row>
    <x:row r="46">
      <x:c r="A46" s="19" t="s">
        <x:v>57</x:v>
      </x:c>
      <x:c r="B46" s="5" t="b">
        <x:v>1</x:v>
      </x:c>
      <x:c r="C46" s="5" t="b">
        <x:v>1</x:v>
      </x:c>
      <x:c r="D46" s="5" t="b">
        <x:v>1</x:v>
      </x:c>
      <x:c r="E46" s="5" t="b">
        <x:v>1</x:v>
      </x:c>
      <x:c r="F46" s="5" t="b">
        <x:v>0</x:v>
      </x:c>
      <x:c r="G46" s="5" t="b">
        <x:v>1</x:v>
      </x:c>
      <x:c r="H46" s="5" t="b">
        <x:v>0</x:v>
      </x:c>
      <x:c r="I46" s="5" t="b">
        <x:v>1</x:v>
      </x:c>
      <x:c r="J46" s="5" t="b">
        <x:v>1</x:v>
      </x:c>
      <x:c r="K46" s="5"/>
      <x:c r="L46" s="5" t="b">
        <x:v>0</x:v>
      </x:c>
      <x:c r="N46" s="5" t="b">
        <x:v>0</x:v>
      </x:c>
    </x:row>
    <x:row r="47">
      <x:c r="A47" s="19" t="s">
        <x:v>58</x:v>
      </x:c>
      <x:c r="B47" s="5" t="b">
        <x:v>1</x:v>
      </x:c>
      <x:c r="C47" s="5" t="b">
        <x:v>1</x:v>
      </x:c>
      <x:c r="D47" s="5" t="b">
        <x:v>1</x:v>
      </x:c>
      <x:c r="E47" s="5" t="b">
        <x:v>1</x:v>
      </x:c>
      <x:c r="F47" s="5" t="b">
        <x:v>0</x:v>
      </x:c>
      <x:c r="G47" s="5" t="b">
        <x:v>1</x:v>
      </x:c>
      <x:c r="H47" s="5" t="b">
        <x:v>0</x:v>
      </x:c>
      <x:c r="I47" s="5" t="b">
        <x:v>1</x:v>
      </x:c>
      <x:c r="J47" s="5" t="b">
        <x:v>1</x:v>
      </x:c>
      <x:c r="K47" s="5"/>
      <x:c r="L47" s="5" t="b">
        <x:v>0</x:v>
      </x:c>
      <x:c r="N47" s="5" t="b">
        <x:v>0</x:v>
      </x:c>
    </x:row>
    <x:row r="48">
      <x:c r="A48" s="26" t="s">
        <x:v>59</x:v>
      </x:c>
      <x:c r="B48" s="27" t="b">
        <x:v>1</x:v>
      </x:c>
      <x:c r="C48" s="27" t="b">
        <x:v>1</x:v>
      </x:c>
      <x:c r="D48" s="27" t="b">
        <x:v>1</x:v>
      </x:c>
      <x:c r="E48" s="27" t="b">
        <x:v>1</x:v>
      </x:c>
      <x:c r="F48" s="27" t="b">
        <x:v>0</x:v>
      </x:c>
      <x:c r="G48" s="27" t="b">
        <x:v>1</x:v>
      </x:c>
      <x:c r="H48" s="27" t="b">
        <x:v>0</x:v>
      </x:c>
      <x:c r="I48" s="27" t="b">
        <x:v>1</x:v>
      </x:c>
      <x:c r="J48" s="27" t="b">
        <x:v>1</x:v>
      </x:c>
      <x:c r="K48" s="27"/>
      <x:c r="L48" s="27" t="b">
        <x:v>0</x:v>
      </x:c>
      <x:c r="N48" s="5" t="b">
        <x:v>0</x:v>
      </x:c>
    </x:row>
    <x:row r="49">
      <x:c r="A49" s="18" t="s">
        <x:v>60</x:v>
      </x:c>
      <x:c r="B49" s="7" t="b">
        <x:v>1</x:v>
      </x:c>
      <x:c r="C49" s="7" t="b">
        <x:v>1</x:v>
      </x:c>
      <x:c r="D49" s="7" t="b">
        <x:v>1</x:v>
      </x:c>
      <x:c r="E49" s="7" t="b">
        <x:v>1</x:v>
      </x:c>
      <x:c r="F49" s="7" t="b">
        <x:v>1</x:v>
      </x:c>
      <x:c r="G49" s="7" t="b">
        <x:v>1</x:v>
      </x:c>
      <x:c r="H49" s="7" t="b">
        <x:v>1</x:v>
      </x:c>
      <x:c r="I49" s="7" t="b">
        <x:v>1</x:v>
      </x:c>
      <x:c r="J49" s="7" t="b">
        <x:v>1</x:v>
      </x:c>
      <x:c r="K49" s="7"/>
      <x:c r="L49" s="7" t="b">
        <x:v>0</x:v>
      </x:c>
      <x:c r="N49" s="7" t="b">
        <x:v>0</x:v>
      </x:c>
    </x:row>
    <x:row r="50">
      <x:c r="B50" t="n">
        <x:f>COUNTIF(B3:B49,TRUE)</x:f>
        <x:v>0</x:v>
      </x:c>
      <x:c r="C50" t="n">
        <x:f t="shared" ref="C50:L50" si="0">COUNTIF(C3:C49,TRUE)</x:f>
        <x:v>0</x:v>
      </x:c>
      <x:c r="D50" t="n">
        <x:f t="shared" si="0">COUNTIF(D3:D49,TRUE)</x:f>
        <x:v>0</x:v>
      </x:c>
      <x:c r="E50" t="n">
        <x:f t="shared" si="0">COUNTIF(E3:E49,TRUE)</x:f>
        <x:v>0</x:v>
      </x:c>
      <x:c r="F50" t="n">
        <x:f t="shared" si="0">COUNTIF(F3:F49,TRUE)</x:f>
        <x:v>0</x:v>
      </x:c>
      <x:c r="G50" t="n">
        <x:f t="shared" si="0">COUNTIF(G3:G49,TRUE)</x:f>
        <x:v>0</x:v>
      </x:c>
      <x:c r="H50" t="n">
        <x:f t="shared" si="0">COUNTIF(H3:H49,TRUE)</x:f>
        <x:v>0</x:v>
      </x:c>
      <x:c r="I50" t="n">
        <x:f t="shared" si="0">COUNTIF(I3:I49,TRUE)</x:f>
        <x:v>0</x:v>
      </x:c>
      <x:c r="J50" t="n">
        <x:f t="shared" si="0">COUNTIF(J3:J49,TRUE)</x:f>
        <x:v>0</x:v>
      </x:c>
      <x:c r="L50" t="n">
        <x:f t="shared" si="0">COUNTIF(L3:L49,TRUE)</x:f>
        <x:v>0</x:v>
      </x:c>
      <x:c r="N50" t="n">
        <x:f t="shared" ref="N50" si="1">COUNTIF(N3:N49,TRUE)</x:f>
        <x:v>0</x:v>
      </x:c>
    </x:row>
    <x:row r="51">
      <x:c r="B51" t="n">
        <x:f>B50*B1</x:f>
        <x:v>0</x:v>
      </x:c>
      <x:c r="C51" t="n">
        <x:f t="shared" ref="C51:L51" si="2">C50*C1</x:f>
        <x:v>0</x:v>
      </x:c>
      <x:c r="D51" t="n">
        <x:f t="shared" si="2">D50*D1</x:f>
        <x:v>0</x:v>
      </x:c>
      <x:c r="E51" t="n">
        <x:f t="shared" si="2">E50*E1</x:f>
        <x:v>0</x:v>
      </x:c>
      <x:c r="F51" t="n">
        <x:f t="shared" si="2">F50*F1</x:f>
        <x:v>0</x:v>
      </x:c>
      <x:c r="G51" t="n">
        <x:f t="shared" si="2">G50*G1</x:f>
        <x:v>0</x:v>
      </x:c>
      <x:c r="H51" t="n">
        <x:f t="shared" si="2">H50*H1</x:f>
        <x:v>0</x:v>
      </x:c>
      <x:c r="I51" t="n">
        <x:f t="shared" si="2">I50*I1</x:f>
        <x:v>0</x:v>
      </x:c>
      <x:c r="J51" t="n">
        <x:f t="shared" si="2">J50*J1</x:f>
        <x:v>0</x:v>
      </x:c>
      <x:c r="L51" t="n">
        <x:f t="shared" si="2">L50*L1</x:f>
        <x:v>0</x:v>
      </x:c>
      <x:c r="N51" t="n">
        <x:f>SUM(B51:L51)</x:f>
        <x:v>0</x:v>
      </x:c>
      <x:c r="O51" t="n">
        <x:f>SUM(B51:J51,L51)</x:f>
        <x:v>0</x:v>
      </x:c>
    </x:row>
    <x:row r="52">
      <x:c r="A52" s="238" t="str">
        <x:v>Child discount</x:v>
      </x:c>
      <x:c r="B52" s="239" t="n">
        <x:v>-10</x:v>
      </x:c>
      <x:c r="C52" s="239" t="n">
        <x:v>-40</x:v>
      </x:c>
      <x:c r="D52" s="239" t="n">
        <x:v>-10</x:v>
      </x:c>
      <x:c r="E52" s="239" t="n">
        <x:v>-10</x:v>
      </x:c>
      <x:c r="F52" s="239" t="n">
        <x:v>-10</x:v>
      </x:c>
      <x:c r="G52" s="239" t="n">
        <x:v>-10</x:v>
      </x:c>
      <x:c r="H52" s="239" t="n">
        <x:v>0</x:v>
      </x:c>
      <x:c r="I52" s="239" t="n">
        <x:v>-10</x:v>
      </x:c>
      <x:c r="J52" s="239" t="n">
        <x:v>-20</x:v>
      </x:c>
      <x:c r="K52" s="239"/>
      <x:c r="L52" s="239" t="n">
        <x:v>0</x:v>
      </x:c>
      <x:c r="M52" s="239" t="str">
        <x:v>Total</x:v>
      </x:c>
      <x:c r="N52" s="239" t="n">
        <x:f>SUM(B52:J52,L52)</x:f>
        <x:v>-120</x:v>
      </x:c>
      <x:c r="O52" s="239" t="n">
        <x:f>N52</x:f>
        <x:v>-120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23.08984375" customWidth="1"/>
    <x:col min="2" max="2" width="35" customWidth="1"/>
    <x:col min="3" max="3" width="47.7265625" customWidth="1"/>
    <x:col min="4" max="4" width="20.1796875" customWidth="1"/>
  </x:cols>
  <x:sheetData>
    <x:row r="2">
      <x:c r="A2" t="s">
        <x:v>61</x:v>
      </x:c>
      <x:c r="B2" s="12" t="s">
        <x:v>62</x:v>
      </x:c>
      <x:c r="C2" t="s">
        <x:v>63</x:v>
      </x:c>
      <x:c r="D2" t="s">
        <x:v>64</x:v>
      </x:c>
    </x:row>
    <x:row r="3">
      <x:c r="A3" t="s">
        <x:v>65</x:v>
      </x:c>
      <x:c r="B3" t="s">
        <x:v>66</x:v>
      </x:c>
      <x:c r="C3" t="s">
        <x:v>67</x:v>
      </x:c>
      <x:c r="D3" t="s">
        <x:v>68</x:v>
      </x:c>
    </x:row>
    <x:row r="4">
      <x:c r="A4" t="s">
        <x:v>69</x:v>
      </x:c>
      <x:c r="B4" t="s">
        <x:v>70</x:v>
      </x:c>
      <x:c r="C4" t="s">
        <x:v>71</x:v>
      </x:c>
      <x:c r="D4" t="s">
        <x:v>72</x:v>
      </x:c>
    </x:row>
    <x:row r="5">
      <x:c r="A5" t="s">
        <x:v>73</x:v>
      </x:c>
      <x:c r="B5" t="s">
        <x:v>74</x:v>
      </x:c>
      <x:c r="C5" t="s">
        <x:v>75</x:v>
      </x:c>
      <x:c r="D5" t="s">
        <x:v>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24.7265625" customWidth="1"/>
  </x:cols>
  <x:sheetData>
    <x:row r="1">
      <x:c r="A1" s="1" t="s">
        <x:v>77</x:v>
      </x:c>
      <x:c r="B1" s="1" t="s">
        <x:v>78</x:v>
      </x:c>
      <x:c r="C1" s="1" t="s">
        <x:v>79</x:v>
      </x:c>
      <x:c r="D1" s="1" t="s">
        <x:v>80</x:v>
      </x:c>
      <x:c r="E1" s="1" t="s">
        <x:v>81</x:v>
      </x:c>
      <x:c r="F1" s="1" t="s">
        <x:v>82</x:v>
      </x:c>
      <x:c r="G1" s="1" t="s">
        <x:v>83</x:v>
      </x:c>
      <x:c r="H1" s="1" t="s">
        <x:v>84</x:v>
      </x:c>
      <x:c r="I1" s="1" t="s">
        <x:v>85</x:v>
      </x:c>
      <x:c r="J1" s="1" t="s">
        <x:v>86</x:v>
      </x:c>
    </x:row>
    <x:row r="2">
      <x:c r="A2" t="s">
        <x:v>87</x:v>
      </x:c>
      <x:c r="B2" s="2" t="b">
        <x:v>0</x:v>
      </x:c>
      <x:c r="C2" s="2" t="b">
        <x:v>0</x:v>
      </x:c>
      <x:c r="D2" s="2" t="b">
        <x:v>0</x:v>
      </x:c>
      <x:c r="E2" s="2" t="b">
        <x:v>0</x:v>
      </x:c>
      <x:c r="F2" s="2" t="b">
        <x:v>0</x:v>
      </x:c>
      <x:c r="G2" s="2" t="b">
        <x:v>0</x:v>
      </x:c>
      <x:c r="H2" s="2" t="b">
        <x:v>0</x:v>
      </x:c>
      <x:c r="I2" s="2" t="b">
        <x:v>0</x:v>
      </x:c>
      <x:c r="J2" s="2" t="b">
        <x:v>0</x:v>
      </x:c>
    </x:row>
    <x:row r="3">
      <x:c r="A3" t="s">
        <x:v>88</x:v>
      </x:c>
      <x:c r="B3" s="2" t="b">
        <x:v>0</x:v>
      </x:c>
      <x:c r="C3" s="2" t="b">
        <x:v>1</x:v>
      </x:c>
      <x:c r="D3" s="2" t="b">
        <x:v>0</x:v>
      </x:c>
      <x:c r="E3" s="2" t="b">
        <x:v>0</x:v>
      </x:c>
      <x:c r="F3" s="2" t="b">
        <x:v>0</x:v>
      </x:c>
      <x:c r="G3" s="2" t="b">
        <x:v>0</x:v>
      </x:c>
      <x:c r="H3" s="2" t="b">
        <x:v>0</x:v>
      </x:c>
      <x:c r="I3" s="2" t="b">
        <x:v>0</x:v>
      </x:c>
      <x:c r="J3" s="2" t="b">
        <x:v>0</x:v>
      </x:c>
      <x:c r="K3" s="14" t="n">
        <x:f>82000/360</x:f>
        <x:v>227.77777777777777</x:v>
      </x:c>
    </x:row>
    <x:row r="4">
      <x:c r="A4" t="s">
        <x:v>89</x:v>
      </x:c>
      <x:c r="B4" s="2" t="b">
        <x:v>0</x:v>
      </x:c>
      <x:c r="C4" s="2" t="b">
        <x:v>0</x:v>
      </x:c>
      <x:c r="D4" s="2" t="b">
        <x:v>1</x:v>
      </x:c>
      <x:c r="E4" s="2" t="b">
        <x:v>0</x:v>
      </x:c>
      <x:c r="F4" s="2" t="b">
        <x:v>0</x:v>
      </x:c>
      <x:c r="G4" s="2" t="b">
        <x:v>0</x:v>
      </x:c>
      <x:c r="H4" s="2" t="b">
        <x:v>0</x:v>
      </x:c>
      <x:c r="I4" s="2" t="b">
        <x:v>0</x:v>
      </x:c>
      <x:c r="J4" s="2" t="b">
        <x:v>0</x:v>
      </x:c>
      <x:c r="K4" s="14">
        <x:v>360</x:v>
      </x:c>
    </x:row>
    <x:row r="5">
      <x:c r="A5" t="s">
        <x:v>90</x:v>
      </x:c>
      <x:c r="B5" s="2" t="b">
        <x:v>0</x:v>
      </x:c>
      <x:c r="C5" s="2" t="b">
        <x:v>0</x:v>
      </x:c>
      <x:c r="D5" s="2" t="b">
        <x:v>1</x:v>
      </x:c>
      <x:c r="E5" s="2" t="b">
        <x:v>0</x:v>
      </x:c>
      <x:c r="F5" s="2" t="b">
        <x:v>0</x:v>
      </x:c>
      <x:c r="G5" s="2" t="b">
        <x:v>0</x:v>
      </x:c>
      <x:c r="H5" s="2" t="b">
        <x:v>0</x:v>
      </x:c>
      <x:c r="I5" s="2" t="b">
        <x:v>0</x:v>
      </x:c>
      <x:c r="J5" s="2" t="b">
        <x:v>0</x:v>
      </x:c>
      <x:c r="K5" s="14"/>
    </x:row>
    <x:row r="6">
      <x:c r="A6" t="s">
        <x:v>91</x:v>
      </x:c>
      <x:c r="B6" s="2" t="b">
        <x:v>0</x:v>
      </x:c>
      <x:c r="C6" s="2" t="b">
        <x:v>0</x:v>
      </x:c>
      <x:c r="D6" s="2" t="b">
        <x:v>0</x:v>
      </x:c>
      <x:c r="E6" s="2" t="b">
        <x:v>0</x:v>
      </x:c>
      <x:c r="F6" s="2" t="b">
        <x:v>0</x:v>
      </x:c>
      <x:c r="G6" s="2" t="b">
        <x:v>0</x:v>
      </x:c>
      <x:c r="H6" s="2" t="b">
        <x:v>0</x:v>
      </x:c>
      <x:c r="I6" s="2" t="b">
        <x:v>1</x:v>
      </x:c>
      <x:c r="J6" s="2" t="b">
        <x:v>0</x:v>
      </x:c>
      <x:c r="K6" s="14"/>
    </x:row>
    <x:row r="7">
      <x:c r="A7" t="s">
        <x:v>92</x:v>
      </x:c>
      <x:c r="B7" s="2" t="b">
        <x:v>0</x:v>
      </x:c>
      <x:c r="C7" s="2" t="b">
        <x:v>0</x:v>
      </x:c>
      <x:c r="D7" s="2" t="b">
        <x:v>0</x:v>
      </x:c>
      <x:c r="E7" s="2" t="b">
        <x:v>0</x:v>
      </x:c>
      <x:c r="F7" s="2" t="b">
        <x:v>0</x:v>
      </x:c>
      <x:c r="G7" s="2" t="b">
        <x:v>0</x:v>
      </x:c>
      <x:c r="H7" s="2" t="b">
        <x:v>0</x:v>
      </x:c>
      <x:c r="I7" s="2" t="b">
        <x:v>0</x:v>
      </x:c>
      <x:c r="J7" s="2" t="b">
        <x:v>0</x:v>
      </x:c>
      <x:c r="K7" s="14"/>
    </x:row>
    <x:row r="8">
      <x:c r="B8" s="2" t="b">
        <x:v>0</x:v>
      </x:c>
      <x:c r="C8" s="2" t="b">
        <x:v>0</x:v>
      </x:c>
      <x:c r="D8" s="2" t="b">
        <x:v>0</x:v>
      </x:c>
      <x:c r="E8" s="2" t="b">
        <x:v>0</x:v>
      </x:c>
      <x:c r="F8" s="2" t="b">
        <x:v>0</x:v>
      </x:c>
      <x:c r="G8" s="2" t="b">
        <x:v>0</x:v>
      </x:c>
      <x:c r="H8" s="2" t="b">
        <x:v>0</x:v>
      </x:c>
      <x:c r="I8" s="2" t="b">
        <x:v>0</x:v>
      </x:c>
      <x:c r="J8" s="2" t="b">
        <x:v>0</x:v>
      </x:c>
      <x:c r="K8" s="14"/>
    </x:row>
    <x:row r="9">
      <x:c r="K9" s="14" t="n">
        <x:f>SUM(K3:K8)</x:f>
        <x:v>587.7777777777778</x:v>
      </x:c>
    </x:row>
    <x:row r="10">
      <x:c r="C10" s="3">
        <x:v>46164</x:v>
      </x:c>
      <x:c r="D10" s="3">
        <x:v>46165</x:v>
      </x:c>
      <x:c r="E10" s="3">
        <x:v>46166</x:v>
      </x:c>
      <x:c r="F10" s="3">
        <x:v>46167</x:v>
      </x:c>
      <x:c r="G10" s="3">
        <x:v>46168</x:v>
      </x:c>
      <x:c r="H10" s="3">
        <x:v>46169</x:v>
      </x:c>
      <x:c r="I10" s="3">
        <x:v>46170</x:v>
      </x:c>
      <x:c r="J10" s="3">
        <x:v>46171</x:v>
      </x:c>
    </x:row>
    <x:row r="11">
      <x:c r="K11" s="14" t="n">
        <x:f>2200-K9</x:f>
        <x:v>1612.2222222222222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8" hidden="0" customWidth="1"/>
    <x:col min="2" max="2" width="16" hidden="0" customWidth="1"/>
    <x:col min="3" max="3" width="24" hidden="0" customWidth="1"/>
    <x:col min="4" max="4" width="30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42" hidden="0" customWidth="1"/>
  </x:cols>
  <x:sheetData>
    <x:row r="1">
      <x:c r="A1" s="243" t="str">
        <x:v>PCS 1107 BE-PBV - Harcamalar / Giderler</x:v>
      </x:c>
      <x:c r="B1" s="243"/>
      <x:c r="C1" s="243"/>
      <x:c r="D1" s="243"/>
      <x:c r="E1" s="261"/>
      <x:c r="F1" s="261"/>
      <x:c r="G1" s="261"/>
      <x:c r="H1" s="261"/>
      <x:c r="I1" s="261"/>
      <x:c r="J1" s="261"/>
    </x:row>
    <x:row r="2">
      <x:c r="A2" s="135"/>
      <x:c r="B2" s="135"/>
      <x:c r="C2" s="135"/>
      <x:c r="D2" s="135"/>
      <x:c r="E2" s="135"/>
      <x:c r="F2" s="135"/>
      <x:c r="G2" s="135"/>
      <x:c r="H2" s="135"/>
      <x:c r="I2" s="135"/>
      <x:c r="J2" s="135"/>
      <x:c r="L2" s="241" t="str">
        <x:v>CZK per EUR</x:v>
      </x:c>
      <x:c r="M2" s="260"/>
    </x:row>
    <x:row r="3">
      <x:c r="A3" s="247" t="str">
        <x:v>Tur No</x:v>
      </x:c>
      <x:c r="B3" s="247" t="str">
        <x:v>Tur</x:v>
      </x:c>
      <x:c r="C3" s="247" t="str">
        <x:v>Gider Kalemi</x:v>
      </x:c>
      <x:c r="D3" s="247" t="str">
        <x:v>Belge / Tedarikçi</x:v>
      </x:c>
      <x:c r="E3" s="247" t="str">
        <x:v>Tarih</x:v>
      </x:c>
      <x:c r="F3" s="247" t="str">
        <x:v>Para Birimi</x:v>
      </x:c>
      <x:c r="G3" s="247" t="str">
        <x:v>Belge Tutarı</x:v>
      </x:c>
      <x:c r="H3" s="247" t="str">
        <x:v>CZK/EUR Kuru</x:v>
      </x:c>
      <x:c r="I3" s="247" t="str">
        <x:v>EUR Karşılığı</x:v>
      </x:c>
      <x:c r="J3" s="247" t="str">
        <x:v>Not</x:v>
      </x:c>
    </x:row>
    <x:row r="4">
      <x:c r="A4" s="135" t="n">
        <x:v>1</x:v>
      </x:c>
      <x:c r="B4" s="135" t="str">
        <x:v>1-Dresden</x:v>
      </x:c>
      <x:c r="C4" s="136" t="str">
        <x:v>Havalimanı otoparkı</x:v>
      </x:c>
      <x:c r="D4" s="135" t="str">
        <x:v>APCOA Parking – BER Airport</x:v>
      </x:c>
      <x:c r="E4" s="135" t="str">
        <x:v>11.07.2026</x:v>
      </x:c>
      <x:c r="F4" s="135" t="str">
        <x:v>EUR</x:v>
      </x:c>
      <x:c r="G4" s="136"/>
      <x:c r="H4" s="136" t="n">
        <x:f>$M$2</x:f>
        <x:v>0</x:v>
      </x:c>
      <x:c r="I4" s="136" t="n">
        <x:f>IF(F4="EUR",IF(ISNUMBER(G4),G4,0),IF(AND(F4="CZK",ISNUMBER(G4),$M$2&gt;0),G4/$M$2,0))</x:f>
        <x:v>0</x:v>
      </x:c>
      <x:c r="J4" s="135" t="str">
        <x:v>Bilette ücret görünmüyor; tutar gerekli.</x:v>
      </x:c>
    </x:row>
    <x:row r="5">
      <x:c r="A5" s="135" t="n">
        <x:v>1</x:v>
      </x:c>
      <x:c r="B5" s="135" t="str">
        <x:v>1-Dresden</x:v>
      </x:c>
      <x:c r="C5" s="136" t="str">
        <x:v>Berlin–Prag ulaşımı</x:v>
      </x:c>
      <x:c r="D5" s="135" t="str">
        <x:v>FlixBus booking #3368840110</x:v>
      </x:c>
      <x:c r="E5" s="135" t="str">
        <x:v>28.06.2026</x:v>
      </x:c>
      <x:c r="F5" s="135" t="str">
        <x:v>CZK</x:v>
      </x:c>
      <x:c r="G5" s="136" t="n">
        <x:v>738</x:v>
      </x:c>
      <x:c r="H5" s="136" t="n">
        <x:f>$M$2</x:f>
        <x:v>0</x:v>
      </x:c>
      <x:c r="I5" s="136" t="n">
        <x:f>IF(F5="EUR",IF(ISNUMBER(G5),G5,0),IF(AND(F5="CZK",ISNUMBER(G5),$M$2&gt;0),G5/$M$2,0))</x:f>
        <x:v>0</x:v>
      </x:c>
      <x:c r="J5" s="135" t="str">
        <x:v>729 CZK bilet + 9 CZK servis ücreti.</x:v>
      </x:c>
    </x:row>
    <x:row r="6">
      <x:c r="A6" s="135" t="n">
        <x:v>2</x:v>
      </x:c>
      <x:c r="B6" s="135" t="str">
        <x:v>2-Tekne</x:v>
      </x:c>
      <x:c r="C6" s="136" t="str">
        <x:v>Vltava tekne gideri</x:v>
      </x:c>
      <x:c r="D6" s="135" t="str">
        <x:v>Loď MORAVIA / Na Františku</x:v>
      </x:c>
      <x:c r="E6" s="135" t="str">
        <x:v>13.07.2026</x:v>
      </x:c>
      <x:c r="F6" s="135" t="str">
        <x:v>EUR</x:v>
      </x:c>
      <x:c r="G6" s="136" t="n">
        <x:v>662</x:v>
      </x:c>
      <x:c r="H6" s="136" t="n">
        <x:f>$M$2</x:f>
        <x:v>0</x:v>
      </x:c>
      <x:c r="I6" s="136" t="n">
        <x:f>IF(F6="EUR",IF(ISNUMBER(G6),G6,0),IF(AND(F6="CZK",ISNUMBER(G6),$M$2&gt;0),G6/$M$2,0))</x:f>
        <x:v>662</x:v>
      </x:c>
      <x:c r="J6" s="135" t="str">
        <x:v>El yazısı tutar 662 olarak okunuyor; teyit önerilir.</x:v>
      </x:c>
    </x:row>
    <x:row r="7">
      <x:c r="A7" s="135" t="n">
        <x:v>3</x:v>
      </x:c>
      <x:c r="B7" s="135" t="str">
        <x:v>3-KV</x:v>
      </x:c>
      <x:c r="C7" s="136" t="str">
        <x:v>Karlovy Vary otoparkı</x:v>
      </x:c>
      <x:c r="D7" s="135" t="str">
        <x:v>Dopravní podnik Karlovy Vary</x:v>
      </x:c>
      <x:c r="E7" s="135" t="str">
        <x:v>13.07.2026</x:v>
      </x:c>
      <x:c r="F7" s="135" t="str">
        <x:v>CZK</x:v>
      </x:c>
      <x:c r="G7" s="136" t="n">
        <x:v>390</x:v>
      </x:c>
      <x:c r="H7" s="136" t="n">
        <x:f>$M$2</x:f>
        <x:v>0</x:v>
      </x:c>
      <x:c r="I7" s="136" t="n">
        <x:f>IF(F7="EUR",IF(ISNUMBER(G7),G7,0),IF(AND(F7="CZK",ISNUMBER(G7),$M$2&gt;0),G7/$M$2,0))</x:f>
        <x:v>0</x:v>
      </x:c>
      <x:c r="J7" s="135" t="str">
        <x:v>Parkoviště Kome 32.</x:v>
      </x:c>
    </x:row>
    <x:row r="8">
      <x:c r="A8" s="139" t="n">
        <x:v>4</x:v>
      </x:c>
      <x:c r="B8" s="139" t="str">
        <x:v>4-Çek G.</x:v>
      </x:c>
      <x:c r="C8" s="140" t="str">
        <x:v>Folklor gösterisi</x:v>
      </x:c>
      <x:c r="D8" s="139" t="str">
        <x:v>Folklore Garden s.r.o.</x:v>
      </x:c>
      <x:c r="E8" s="135" t="str">
        <x:v>12.07.2026</x:v>
      </x:c>
      <x:c r="F8" s="135" t="str">
        <x:v>EUR</x:v>
      </x:c>
      <x:c r="G8" s="136" t="n">
        <x:v>710</x:v>
      </x:c>
      <x:c r="H8" s="136" t="n">
        <x:f>$M$2</x:f>
        <x:v>0</x:v>
      </x:c>
      <x:c r="I8" s="136" t="n">
        <x:f>IF(F8="EUR",IF(ISNUMBER(G8),G8,0),IF(AND(F8="CZK",ISNUMBER(G8),$M$2&gt;0),G8/$M$2,0))</x:f>
        <x:v>710</x:v>
      </x:c>
      <x:c r="J8" s="135" t="str">
        <x:v>Belgede 703 + 7 EUR; 18 yetişkin + 2 çocuk.</x:v>
      </x:c>
    </x:row>
    <x:row r="9">
      <x:c r="A9" s="135" t="n">
        <x:v>5</x:v>
      </x:c>
      <x:c r="B9" s="135" t="str">
        <x:v>5-Tuna T.</x:v>
      </x:c>
      <x:c r="C9" s="135" t="str">
        <x:v>Şimdilik gider yok</x:v>
      </x:c>
      <x:c r="D9" s="135" t="str"/>
      <x:c r="E9" s="135" t="str"/>
      <x:c r="F9" s="135" t="str">
        <x:v>EUR</x:v>
      </x:c>
      <x:c r="G9" s="136" t="n">
        <x:v>0</x:v>
      </x:c>
      <x:c r="H9" s="136" t="n">
        <x:f>$M$2</x:f>
        <x:v>0</x:v>
      </x:c>
      <x:c r="I9" s="136" t="n">
        <x:f>IF(F9="EUR",IF(ISNUMBER(G9),G9,0),IF(AND(F9="CZK",ISNUMBER(G9),$M$2&gt;0),G9/$M$2,0))</x:f>
        <x:v>0</x:v>
      </x:c>
      <x:c r="J9" s="135" t="str">
        <x:v>Kullanıcı talebiyle 0.</x:v>
      </x:c>
    </x:row>
    <x:row r="10">
      <x:c r="A10" s="135" t="n">
        <x:v>6</x:v>
      </x:c>
      <x:c r="B10" s="135" t="str">
        <x:v>6-Estergom</x:v>
      </x:c>
      <x:c r="C10" s="135" t="str">
        <x:v>Şimdilik gider yok</x:v>
      </x:c>
      <x:c r="D10" s="135" t="str"/>
      <x:c r="E10" s="135" t="str"/>
      <x:c r="F10" s="135" t="str">
        <x:v>EUR</x:v>
      </x:c>
      <x:c r="G10" s="136" t="n">
        <x:v>0</x:v>
      </x:c>
      <x:c r="H10" s="136" t="n">
        <x:f>$M$2</x:f>
        <x:v>0</x:v>
      </x:c>
      <x:c r="I10" s="136" t="n">
        <x:f>IF(F10="EUR",IF(ISNUMBER(G10),G10,0),IF(AND(F10="CZK",ISNUMBER(G10),$M$2&gt;0),G10/$M$2,0))</x:f>
        <x:v>0</x:v>
      </x:c>
      <x:c r="J10" s="135" t="str">
        <x:v>Kullanıcı talebiyle 0.</x:v>
      </x:c>
    </x:row>
    <x:row r="11">
      <x:c r="A11" s="135" t="n">
        <x:v>7</x:v>
      </x:c>
      <x:c r="B11" s="135" t="str">
        <x:v>7-Çigan</x:v>
      </x:c>
      <x:c r="C11" s="135" t="str">
        <x:v>Şimdilik gider yok</x:v>
      </x:c>
      <x:c r="D11" s="135" t="str"/>
      <x:c r="E11" s="135" t="str"/>
      <x:c r="F11" s="135" t="str">
        <x:v>EUR</x:v>
      </x:c>
      <x:c r="G11" s="136" t="n">
        <x:v>0</x:v>
      </x:c>
      <x:c r="H11" s="136" t="n">
        <x:f>$M$2</x:f>
        <x:v>0</x:v>
      </x:c>
      <x:c r="I11" s="136" t="n">
        <x:f>IF(F11="EUR",IF(ISNUMBER(G11),G11,0),IF(AND(F11="CZK",ISNUMBER(G11),$M$2&gt;0),G11/$M$2,0))</x:f>
        <x:v>0</x:v>
      </x:c>
      <x:c r="J11" s="135" t="str">
        <x:v>Kullanıcı talebiyle 0.</x:v>
      </x:c>
    </x:row>
    <x:row r="12">
      <x:c r="A12" s="135" t="n">
        <x:v>8</x:v>
      </x:c>
      <x:c r="B12" s="135" t="str">
        <x:v>8-Bratislava</x:v>
      </x:c>
      <x:c r="C12" s="135" t="str">
        <x:v>Şimdilik gider yok</x:v>
      </x:c>
      <x:c r="D12" s="135" t="str"/>
      <x:c r="E12" s="135" t="str"/>
      <x:c r="F12" s="135" t="str">
        <x:v>EUR</x:v>
      </x:c>
      <x:c r="G12" s="136" t="n">
        <x:v>0</x:v>
      </x:c>
      <x:c r="H12" s="136" t="n">
        <x:f>$M$2</x:f>
        <x:v>0</x:v>
      </x:c>
      <x:c r="I12" s="136" t="n">
        <x:f>IF(F12="EUR",IF(ISNUMBER(G12),G12,0),IF(AND(F12="CZK",ISNUMBER(G12),$M$2&gt;0),G12/$M$2,0))</x:f>
        <x:v>0</x:v>
      </x:c>
      <x:c r="J12" s="135" t="str">
        <x:v>Kullanıcı talebiyle 0.</x:v>
      </x:c>
    </x:row>
    <x:row r="13">
      <x:c r="A13" s="135" t="n">
        <x:v>9</x:v>
      </x:c>
      <x:c r="B13" s="135" t="str">
        <x:v>9-Hallstatt</x:v>
      </x:c>
      <x:c r="C13" s="135" t="str">
        <x:v>Şimdilik gider yok</x:v>
      </x:c>
      <x:c r="D13" s="135" t="str"/>
      <x:c r="E13" s="135" t="str"/>
      <x:c r="F13" s="135" t="str">
        <x:v>EUR</x:v>
      </x:c>
      <x:c r="G13" s="136" t="n">
        <x:v>0</x:v>
      </x:c>
      <x:c r="H13" s="136" t="n">
        <x:f>$M$2</x:f>
        <x:v>0</x:v>
      </x:c>
      <x:c r="I13" s="136" t="n">
        <x:f>IF(F13="EUR",IF(ISNUMBER(G13),G13,0),IF(AND(F13="CZK",ISNUMBER(G13),$M$2&gt;0),G13/$M$2,0))</x:f>
        <x:v>0</x:v>
      </x:c>
      <x:c r="J13" s="135" t="str">
        <x:v>Kullanıcı talebiyle 0.</x:v>
      </x:c>
    </x:row>
    <x:row r="14">
      <x:c r="A14" s="262" t="n">
        <x:v>10</x:v>
      </x:c>
      <x:c r="B14" s="135" t="str">
        <x:v>10-Konser</x:v>
      </x:c>
      <x:c r="C14" s="135" t="str">
        <x:v>Şimdilik gider yok</x:v>
      </x:c>
      <x:c r="D14" s="135" t="str"/>
      <x:c r="E14" s="135" t="str"/>
      <x:c r="F14" s="135" t="str">
        <x:v>EUR</x:v>
      </x:c>
      <x:c r="G14" s="136" t="n">
        <x:v>0</x:v>
      </x:c>
      <x:c r="H14" s="136" t="n">
        <x:f>$M$2</x:f>
        <x:v>0</x:v>
      </x:c>
      <x:c r="I14" s="136" t="n">
        <x:f>IF(F14="EUR",IF(ISNUMBER(G14),G14,0),IF(AND(F14="CZK",ISNUMBER(G14),$M$2&gt;0),G14/$M$2,0))</x:f>
        <x:v>0</x:v>
      </x:c>
      <x:c r="J14" s="135" t="str">
        <x:v>Kullanıcı talebiyle 0.</x:v>
      </x:c>
    </x:row>
    <x:row r="15">
      <x:c r="A15" s="135"/>
      <x:c r="B15" s="135"/>
      <x:c r="C15" s="135"/>
      <x:c r="D15" s="135"/>
      <x:c r="E15" s="135"/>
      <x:c r="F15" s="135"/>
      <x:c r="G15" s="136"/>
      <x:c r="H15" s="136"/>
      <x:c r="I15" s="136"/>
      <x:c r="J15" s="135"/>
    </x:row>
    <x:row r="16">
      <x:c r="A16" s="252" t="str">
        <x:v>TOPLAM BELGELİ GİDER</x:v>
      </x:c>
      <x:c r="B16" s="252"/>
      <x:c r="C16" s="252"/>
      <x:c r="D16" s="252"/>
      <x:c r="E16" s="252"/>
      <x:c r="F16" s="252"/>
      <x:c r="G16" s="253"/>
      <x:c r="H16" s="253"/>
      <x:c r="I16" s="253" t="n">
        <x:f>SUM(I4:I14)</x:f>
        <x:v>1372</x:v>
      </x:c>
      <x:c r="J16" s="252"/>
    </x:row>
    <x:row r="17">
      <x:c r="A17" s="135"/>
      <x:c r="B17" s="135"/>
      <x:c r="C17" s="135"/>
      <x:c r="D17" s="135"/>
      <x:c r="E17" s="135"/>
      <x:c r="F17" s="135"/>
      <x:c r="G17" s="136"/>
      <x:c r="H17" s="136"/>
      <x:c r="I17" s="136"/>
      <x:c r="J17" s="135"/>
    </x:row>
    <x:row r="18">
      <x:c r="A18" s="263" t="str">
        <x:v>Önceden bildirilen toplam gider</x:v>
      </x:c>
      <x:c r="B18" s="263"/>
      <x:c r="C18" s="263"/>
      <x:c r="D18" s="263"/>
      <x:c r="E18" s="263"/>
      <x:c r="F18" s="263"/>
      <x:c r="G18" s="264"/>
      <x:c r="H18" s="264"/>
      <x:c r="I18" s="264" t="n">
        <x:v>1442</x:v>
      </x:c>
      <x:c r="J18" s="263"/>
    </x:row>
    <x:row r="19">
      <x:c r="A19" s="263" t="str">
        <x:v>Fark / Açıklanmayan tutar</x:v>
      </x:c>
      <x:c r="B19" s="263"/>
      <x:c r="C19" s="263"/>
      <x:c r="D19" s="263"/>
      <x:c r="E19" s="263"/>
      <x:c r="F19" s="263"/>
      <x:c r="G19" s="264"/>
      <x:c r="H19" s="264"/>
      <x:c r="I19" s="264" t="n">
        <x:f>I18-I16</x:f>
        <x:v>70</x:v>
      </x:c>
      <x:c r="J19" s="263"/>
    </x:row>
    <x:row r="20">
      <x:c r="A20"/>
      <x:c r="B20"/>
    </x:row>
    <x:row r="22">
      <x:c r="A22" s="15"/>
      <x:c r="B22" s="16"/>
      <x:c r="D22" s="15"/>
    </x:row>
    <x:row r="23">
      <x:c r="A23" s="15"/>
      <x:c r="B23" s="17"/>
    </x:row>
    <x:row r="24">
      <x:c r="A24" s="15"/>
      <x:c r="B24" s="15"/>
    </x:row>
  </x:sheetData>
  <x:mergeCells>
    <x:mergeCell ref="A1:D1"/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0" max="10" width="18" hidden="0" customWidth="1"/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29" hidden="0" customWidth="1"/>
    <x:col min="8" max="8" width="17" hidden="0" customWidth="1"/>
    <x:col min="11" max="11" width="18" hidden="0" customWidth="1"/>
    <x:col min="12" max="12" width="18" hidden="0" customWidth="1"/>
    <x:col min="6" max="6" width="18" hidden="0" customWidth="1"/>
  </x:cols>
  <x:sheetData>
    <x:row r="1">
      <x:c r="A1" s="243" t="str">
        <x:v>PCS 1107 BE-PBV - Satış Özeti</x:v>
      </x:c>
      <x:c r="B1" s="243"/>
      <x:c r="C1" s="243"/>
      <x:c r="D1" s="243"/>
      <x:c r="E1" s="243"/>
      <x:c r="F1" s="210"/>
      <x:c r="G1" s="127"/>
      <x:c r="H1" s="127"/>
      <x:c r="J1" s="127"/>
      <x:c r="K1" s="127"/>
      <x:c r="L1" s="127"/>
    </x:row>
    <x:row r="2">
      <x:c r="A2" s="89"/>
      <x:c r="B2" s="89"/>
      <x:c r="C2" s="89"/>
      <x:c r="D2" s="89"/>
      <x:c r="E2" s="89"/>
      <x:c r="F2" s="135"/>
      <x:c r="G2" s="278" t="str">
        <x:v>Grand Total Reconciliation</x:v>
      </x:c>
      <x:c r="H2" s="278"/>
      <x:c r="J2"/>
      <x:c r="K2" s="130"/>
      <x:c r="L2" s="101"/>
    </x:row>
    <x:row r="3">
      <x:c r="A3" s="247" t="str">
        <x:v>Tur</x:v>
      </x:c>
      <x:c r="B3" s="247" t="str">
        <x:v>Acente Paket Satış</x:v>
      </x:c>
      <x:c r="C3" s="247" t="str">
        <x:v>Ersen Paket Satış</x:v>
      </x:c>
      <x:c r="D3" s="247" t="str">
        <x:v>Paket Toplam</x:v>
      </x:c>
      <x:c r="E3" s="247" t="str">
        <x:v>Ersen Satış Tek</x:v>
      </x:c>
      <x:c r="F3" s="211"/>
      <x:c r="G3" t="str">
        <x:v>TurKatilim standard sales</x:v>
      </x:c>
      <x:c r="H3" s="101" t="n">
        <x:f>SUM(Satislistesi!C50:L50)</x:f>
        <x:v>13250</x:v>
      </x:c>
      <x:c r="J3"/>
      <x:c r="K3" s="130"/>
      <x:c r="L3" s="101"/>
    </x:row>
    <x:row r="4">
      <x:c r="A4" s="203" t="str">
        <x:v>1-Dresden</x:v>
      </x:c>
      <x:c r="B4" s="203" t="n">
        <x:v>12</x:v>
      </x:c>
      <x:c r="C4" s="203" t="n">
        <x:v>0</x:v>
      </x:c>
      <x:c r="D4" s="203" t="n">
        <x:f>B4+C4</x:f>
        <x:v>12</x:v>
      </x:c>
      <x:c r="E4" s="203" t="n">
        <x:f>COUNTIF(Satislistesi!C3:C49,"&gt;0")-D4</x:f>
        <x:v>26</x:v>
      </x:c>
      <x:c r="F4" s="203"/>
      <x:c r="G4" t="str">
        <x:v>Child discount</x:v>
      </x:c>
      <x:c r="H4" s="101" t="n">
        <x:f>Satislistesi!N50</x:f>
        <x:v>-120</x:v>
      </x:c>
      <x:c r="J4"/>
      <x:c r="K4" s="130"/>
      <x:c r="L4" s="101"/>
    </x:row>
    <x:row r="5">
      <x:c r="A5" s="135" t="str">
        <x:v>2-Tekne</x:v>
      </x:c>
      <x:c r="B5" s="135" t="n">
        <x:v>0</x:v>
      </x:c>
      <x:c r="C5" s="136" t="n">
        <x:v>0</x:v>
      </x:c>
      <x:c r="D5" s="136" t="n">
        <x:f>B5+C5</x:f>
        <x:v>0</x:v>
      </x:c>
      <x:c r="E5" s="136" t="n">
        <x:f>COUNTIF(Satislistesi!D3:D49,"&gt;0")-D5</x:f>
        <x:v>31</x:v>
      </x:c>
      <x:c r="F5" s="136"/>
      <x:c r="G5" t="str">
        <x:v>TurKatilim grand total</x:v>
      </x:c>
      <x:c r="H5" s="101" t="n">
        <x:f>Satislistesi!O50</x:f>
        <x:v>13130</x:v>
      </x:c>
      <x:c r="J5"/>
      <x:c r="K5" s="130"/>
      <x:c r="L5" s="101"/>
    </x:row>
    <x:row r="6">
      <x:c r="A6" s="135" t="str">
        <x:v>3-KV</x:v>
      </x:c>
      <x:c r="B6" s="135" t="n">
        <x:v>12</x:v>
      </x:c>
      <x:c r="C6" s="136" t="n">
        <x:v>0</x:v>
      </x:c>
      <x:c r="D6" s="136" t="n">
        <x:f>B6+C6</x:f>
        <x:v>12</x:v>
      </x:c>
      <x:c r="E6" s="136" t="n">
        <x:f>COUNTIF(Satislistesi!E3:E49,"&gt;0")-D6</x:f>
        <x:v>13</x:v>
      </x:c>
      <x:c r="F6" s="136"/>
      <x:c r="G6" t="str">
        <x:v>Package discount (separate)</x:v>
      </x:c>
      <x:c r="H6" s="101" t="n">
        <x:f>Satislistesi!M50</x:f>
        <x:v>-300</x:v>
      </x:c>
      <x:c r="J6"/>
      <x:c r="K6" s="130"/>
      <x:c r="L6" s="101"/>
    </x:row>
    <x:row r="7">
      <x:c r="A7" s="135" t="str">
        <x:v>4-Çek G.</x:v>
      </x:c>
      <x:c r="B7" s="135" t="n">
        <x:v>12</x:v>
      </x:c>
      <x:c r="C7" s="136" t="n">
        <x:v>0</x:v>
      </x:c>
      <x:c r="D7" s="136" t="n">
        <x:f>B7+C7</x:f>
        <x:v>12</x:v>
      </x:c>
      <x:c r="E7" s="136" t="n">
        <x:f>COUNTIF(Satislistesi!F3:F49,"&gt;0")-D7</x:f>
        <x:v>7</x:v>
      </x:c>
      <x:c r="F7" s="136"/>
      <x:c r="G7" s="280" t="str">
        <x:v>Final revenue after package</x:v>
      </x:c>
      <x:c r="H7" s="281" t="n">
        <x:f>H5+H6</x:f>
        <x:v>12830</x:v>
      </x:c>
      <x:c r="J7" s="97"/>
      <x:c r="K7" s="97"/>
      <x:c r="L7" s="97"/>
    </x:row>
    <x:row r="8">
      <x:c r="A8" s="135" t="str">
        <x:v>5-Tuna T.</x:v>
      </x:c>
      <x:c r="B8" s="135" t="n">
        <x:v>0</x:v>
      </x:c>
      <x:c r="C8" s="136" t="n">
        <x:v>0</x:v>
      </x:c>
      <x:c r="D8" s="136" t="n">
        <x:f>B8+C8</x:f>
        <x:v>0</x:v>
      </x:c>
      <x:c r="E8" s="136" t="n">
        <x:f>COUNTIF(Satislistesi!G3:G49,"&gt;0")-D8</x:f>
        <x:v>29</x:v>
      </x:c>
      <x:c r="F8" s="136"/>
      <x:c r="G8"/>
      <x:c r="H8"/>
    </x:row>
    <x:row r="9">
      <x:c r="A9" s="135" t="str">
        <x:v>6-Estergom</x:v>
      </x:c>
      <x:c r="B9" s="135" t="n">
        <x:v>12</x:v>
      </x:c>
      <x:c r="C9" s="136" t="n">
        <x:v>0</x:v>
      </x:c>
      <x:c r="D9" s="136" t="n">
        <x:f>B9+C9</x:f>
        <x:v>12</x:v>
      </x:c>
      <x:c r="E9" s="136" t="n">
        <x:f>COUNTIF(Satislistesi!H3:H49,"&gt;0")-D9</x:f>
        <x:v>21</x:v>
      </x:c>
      <x:c r="F9" s="136"/>
      <x:c r="G9"/>
      <x:c r="H9"/>
    </x:row>
    <x:row r="10">
      <x:c r="A10" s="135" t="str">
        <x:v>7-Çigan</x:v>
      </x:c>
      <x:c r="B10" s="135" t="n">
        <x:v>0</x:v>
      </x:c>
      <x:c r="C10" s="136" t="n">
        <x:v>0</x:v>
      </x:c>
      <x:c r="D10" s="136" t="n">
        <x:f>B10+C10</x:f>
        <x:v>0</x:v>
      </x:c>
      <x:c r="E10" s="136" t="n">
        <x:f>COUNTIF(Satislistesi!I3:I49,"&gt;0")-D10</x:f>
        <x:v>6</x:v>
      </x:c>
      <x:c r="F10" s="136"/>
      <x:c r="G10"/>
      <x:c r="H10"/>
    </x:row>
    <x:row r="11">
      <x:c r="A11" s="135" t="str">
        <x:v>8-Bratislava</x:v>
      </x:c>
      <x:c r="B11" s="135" t="n">
        <x:v>12</x:v>
      </x:c>
      <x:c r="C11" s="136" t="n">
        <x:v>0</x:v>
      </x:c>
      <x:c r="D11" s="136" t="n">
        <x:f>B11+C11</x:f>
        <x:v>12</x:v>
      </x:c>
      <x:c r="E11" s="136" t="n">
        <x:f>COUNTIF(Satislistesi!J3:J49,"&gt;0")-D11</x:f>
        <x:v>16</x:v>
      </x:c>
      <x:c r="F11" s="136"/>
      <x:c r="G11"/>
      <x:c r="H11"/>
    </x:row>
    <x:row r="12">
      <x:c r="A12" s="135" t="str">
        <x:v>9-Hallstatt</x:v>
      </x:c>
      <x:c r="B12" s="135" t="n">
        <x:v>12</x:v>
      </x:c>
      <x:c r="C12" s="136" t="n">
        <x:v>0</x:v>
      </x:c>
      <x:c r="D12" s="136" t="n">
        <x:f>B12+C12</x:f>
        <x:v>12</x:v>
      </x:c>
      <x:c r="E12" s="136" t="n">
        <x:f>COUNTIF(Satislistesi!K3:K49,"&gt;0")-D12</x:f>
        <x:v>15</x:v>
      </x:c>
      <x:c r="F12" s="136"/>
      <x:c r="G12"/>
      <x:c r="H12"/>
    </x:row>
    <x:row r="13">
      <x:c r="A13" s="139" t="str">
        <x:v>10-Konser</x:v>
      </x:c>
      <x:c r="B13" s="139" t="n">
        <x:v>0</x:v>
      </x:c>
      <x:c r="C13" s="140" t="n">
        <x:v>0</x:v>
      </x:c>
      <x:c r="D13" s="140" t="n">
        <x:f>B13+C13</x:f>
        <x:v>0</x:v>
      </x:c>
      <x:c r="E13" s="140" t="n">
        <x:f>COUNTIF(Satislistesi!L3:L49,"&gt;0")-D13</x:f>
        <x:v>1</x:v>
      </x:c>
      <x:c r="F13" s="136"/>
      <x:c r="G13"/>
      <x:c r="H13"/>
    </x:row>
    <x:row r="14">
      <x:c r="A14" s="252" t="str">
        <x:v>TOPLAM</x:v>
      </x:c>
      <x:c r="B14" s="252" t="n">
        <x:f>SUM(B4:B13)</x:f>
        <x:v>72</x:v>
      </x:c>
      <x:c r="C14" s="253" t="n">
        <x:f>SUM(C4:C13)</x:f>
        <x:v>0</x:v>
      </x:c>
      <x:c r="D14" s="253" t="n">
        <x:f>SUM(D4:D13)</x:f>
        <x:v>72</x:v>
      </x:c>
      <x:c r="E14" s="253" t="n">
        <x:f>SUM(E4:E13)</x:f>
        <x:v>165</x:v>
      </x:c>
      <x:c r="F14" s="136"/>
    </x:row>
    <x:row r="15">
      <x:c r="A15" s="212"/>
      <x:c r="B15" s="212"/>
      <x:c r="C15" s="213"/>
      <x:c r="D15" s="213"/>
      <x:c r="E15" s="213"/>
      <x:c r="F15" s="213"/>
    </x:row>
    <x:row r="16">
      <x:c r="A16" s="135"/>
      <x:c r="B16" s="135"/>
      <x:c r="C16" s="136"/>
      <x:c r="D16" s="136"/>
      <x:c r="E16" s="136"/>
      <x:c r="F16" s="136"/>
    </x:row>
    <x:row r="17">
      <x:c r="A17" s="135"/>
      <x:c r="B17" s="135"/>
      <x:c r="C17" s="136"/>
      <x:c r="D17" s="136"/>
      <x:c r="E17" s="136"/>
      <x:c r="F17" s="136"/>
    </x:row>
    <x:row r="18">
      <x:c r="A18" s="211" t="str">
        <x:v>Kişi Bazında Satış Detayı</x:v>
      </x:c>
      <x:c r="B18" s="211"/>
      <x:c r="C18" s="214"/>
      <x:c r="D18" s="214"/>
      <x:c r="E18" s="214"/>
      <x:c r="F18" s="214"/>
    </x:row>
    <x:row r="19">
      <x:c r="A19" s="203" t="str">
        <x:v>İsim Soyad</x:v>
      </x:c>
      <x:c r="B19" s="203" t="str">
        <x:v>Satın Alınan Turlar</x:v>
      </x:c>
      <x:c r="C19" s="209" t="str">
        <x:v>Standart Toplam (€)</x:v>
      </x:c>
      <x:c r="D19" s="209" t="str">
        <x:v>Paket İndirimi (€)</x:v>
      </x:c>
      <x:c r="E19" s="209" t="str">
        <x:v>Renk İndirimi (€)</x:v>
      </x:c>
      <x:c r="F19" s="209" t="str">
        <x:v>Net Satış (€)</x:v>
      </x:c>
    </x:row>
    <x:row r="20">
      <x:c r="A20" s="135" t="str">
        <x:v>AYSUNUYGUN</x:v>
      </x:c>
      <x:c r="B20" s="135" t="str">
        <x:v>1-Dresden (40€), 2-Tekne (50€), 3-KV (60€), 4-Çek G. (65€), 5-Tuna T. (40€), 6-Estergom (60€), 7-Çigan (70€), 8-Bratislava (40€), 9-Hallstatt (100€), 10-Konser (65€)</x:v>
      </x:c>
      <x:c r="C20" s="136" t="n">
        <x:v>590</x:v>
      </x:c>
      <x:c r="D20" s="136" t="n">
        <x:v>0</x:v>
      </x:c>
      <x:c r="E20" s="136" t="n">
        <x:v>0</x:v>
      </x:c>
      <x:c r="F20" s="136" t="n">
        <x:v>590</x:v>
      </x:c>
    </x:row>
    <x:row r="21">
      <x:c r="A21" s="135" t="str">
        <x:v>Mehmet BarışAltun</x:v>
      </x:c>
      <x:c r="B21" s="135" t="str">
        <x:v>1-Dresden (40€), 2-Tekne (50€), 3-KV (60€), 5-Tuna T. (40€), 6-Estergom (60€), 7-Çigan (70€), 9-Hallstatt (100€)</x:v>
      </x:c>
      <x:c r="C21" s="136" t="n">
        <x:v>420</x:v>
      </x:c>
      <x:c r="D21" s="136" t="n">
        <x:v>0</x:v>
      </x:c>
      <x:c r="E21" s="136" t="n">
        <x:v>0</x:v>
      </x:c>
      <x:c r="F21" s="136" t="n">
        <x:v>420</x:v>
      </x:c>
    </x:row>
    <x:row r="22">
      <x:c r="A22" s="135" t="str">
        <x:v>TugbaAltun</x:v>
      </x:c>
      <x:c r="B22" s="135" t="str">
        <x:v>1-Dresden (40€), 2-Tekne (50€), 3-KV (60€), 5-Tuna T. (40€), 6-Estergom (60€), 7-Çigan (70€), 9-Hallstatt (100€)</x:v>
      </x:c>
      <x:c r="C22" s="136" t="n">
        <x:v>420</x:v>
      </x:c>
      <x:c r="D22" s="136" t="n">
        <x:v>0</x:v>
      </x:c>
      <x:c r="E22" s="136" t="n">
        <x:v>0</x:v>
      </x:c>
      <x:c r="F22" s="136" t="n">
        <x:v>420</x:v>
      </x:c>
    </x:row>
    <x:row r="23">
      <x:c r="A23" s="135" t="str">
        <x:v>Gül CananFettahlıoğlu</x:v>
      </x:c>
      <x:c r="B23" s="135" t="str">
        <x:v>1-Dresden (40€), 3-KV (60€), 5-Tuna T. (40€), 6-Estergom (60€), 8-Bratislava (40€)</x:v>
      </x:c>
      <x:c r="C23" s="136" t="n">
        <x:v>240</x:v>
      </x:c>
      <x:c r="D23" s="136" t="n">
        <x:v>0</x:v>
      </x:c>
      <x:c r="E23" s="136" t="n">
        <x:v>0</x:v>
      </x:c>
      <x:c r="F23" s="136" t="n">
        <x:v>240</x:v>
      </x:c>
    </x:row>
    <x:row r="24">
      <x:c r="A24" s="135" t="str">
        <x:v>Ramazan YaşarFettahlıoğlu</x:v>
      </x:c>
      <x:c r="B24" s="135" t="str">
        <x:v>1-Dresden (40€), 3-KV (60€), 5-Tuna T. (40€), 6-Estergom (60€), 8-Bratislava (40€)</x:v>
      </x:c>
      <x:c r="C24" s="136" t="n">
        <x:v>240</x:v>
      </x:c>
      <x:c r="D24" s="136" t="n">
        <x:v>0</x:v>
      </x:c>
      <x:c r="E24" s="136" t="n">
        <x:v>0</x:v>
      </x:c>
      <x:c r="F24" s="136" t="n">
        <x:v>240</x:v>
      </x:c>
    </x:row>
    <x:row r="25">
      <x:c r="A25" s="135" t="str">
        <x:v>Samiye NurFettahlıoğlu</x:v>
      </x:c>
      <x:c r="B25" s="135" t="str">
        <x:v>1-Dresden (40€), 3-KV (60€), 5-Tuna T. (40€), 6-Estergom (60€), 8-Bratislava (40€)</x:v>
      </x:c>
      <x:c r="C25" s="136" t="n">
        <x:v>240</x:v>
      </x:c>
      <x:c r="D25" s="136" t="n">
        <x:v>0</x:v>
      </x:c>
      <x:c r="E25" s="136" t="n">
        <x:v>0</x:v>
      </x:c>
      <x:c r="F25" s="136" t="n">
        <x:v>240</x:v>
      </x:c>
    </x:row>
    <x:row r="26">
      <x:c r="A26" s="135" t="str">
        <x:v>Abdullah CemFettahlıoğlu</x:v>
      </x:c>
      <x:c r="B26" s="135" t="str">
        <x:v>5-Tuna T. (40€), 6-Estergom (60€), 8-Bratislava (40€)</x:v>
      </x:c>
      <x:c r="C26" s="136" t="n">
        <x:v>140</x:v>
      </x:c>
      <x:c r="D26" s="136" t="n">
        <x:v>0</x:v>
      </x:c>
      <x:c r="E26" s="136" t="n">
        <x:v>0</x:v>
      </x:c>
      <x:c r="F26" s="136" t="n">
        <x:v>140</x:v>
      </x:c>
    </x:row>
    <x:row r="27">
      <x:c r="A27" s="135" t="str">
        <x:v>VacideSever</x:v>
      </x:c>
      <x:c r="B27" s="135" t="str">
        <x:v>1-Dresden (40€), 3-KV (60€), 5-Tuna T. (40€), 6-Estergom (60€), 8-Bratislava (40€)</x:v>
      </x:c>
      <x:c r="C27" s="136" t="n">
        <x:v>240</x:v>
      </x:c>
      <x:c r="D27" s="136" t="n">
        <x:v>0</x:v>
      </x:c>
      <x:c r="E27" s="136" t="n">
        <x:v>0</x:v>
      </x:c>
      <x:c r="F27" s="136" t="n">
        <x:v>240</x:v>
      </x:c>
    </x:row>
    <x:row r="28">
      <x:c r="A28" s="135" t="str">
        <x:v>MetinMutlu</x:v>
      </x:c>
      <x:c r="B28" s="135" t="str">
        <x:v>1-Dresden (40€), 3-KV (60€), 5-Tuna T. (40€), 6-Estergom (60€), 8-Bratislava (40€)</x:v>
      </x:c>
      <x:c r="C28" s="136" t="n">
        <x:v>240</x:v>
      </x:c>
      <x:c r="D28" s="136" t="n">
        <x:v>0</x:v>
      </x:c>
      <x:c r="E28" s="136" t="n">
        <x:v>0</x:v>
      </x:c>
      <x:c r="F28" s="136" t="n">
        <x:v>240</x:v>
      </x:c>
    </x:row>
    <x:row r="29">
      <x:c r="A29" s="135" t="str">
        <x:v>İBRAHİM HALİLERTAN</x:v>
      </x:c>
      <x:c r="B29" s="135" t="str">
        <x:v>1-Dresden (40€), 3-KV (60€), 6-Estergom (60€), 8-Bratislava (40€)</x:v>
      </x:c>
      <x:c r="C29" s="136" t="n">
        <x:v>200</x:v>
      </x:c>
      <x:c r="D29" s="136" t="n">
        <x:v>0</x:v>
      </x:c>
      <x:c r="E29" s="136" t="n">
        <x:v>0</x:v>
      </x:c>
      <x:c r="F29" s="136" t="n">
        <x:v>200</x:v>
      </x:c>
    </x:row>
    <x:row r="30">
      <x:c r="A30" s="135" t="str">
        <x:v>TUBAERTAN</x:v>
      </x:c>
      <x:c r="B30" s="135" t="str">
        <x:v>1-Dresden (40€), 3-KV (60€), 6-Estergom (60€), 8-Bratislava (40€)</x:v>
      </x:c>
      <x:c r="C30" s="136" t="n">
        <x:v>200</x:v>
      </x:c>
      <x:c r="D30" s="136" t="n">
        <x:v>0</x:v>
      </x:c>
      <x:c r="E30" s="136" t="n">
        <x:v>0</x:v>
      </x:c>
      <x:c r="F30" s="136" t="n">
        <x:v>200</x:v>
      </x:c>
    </x:row>
    <x:row r="31">
      <x:c r="A31" s="135" t="str">
        <x:v>BÜŞRA NEVİNERTAN</x:v>
      </x:c>
      <x:c r="B31" s="135" t="str">
        <x:v>Tur satışı yok</x:v>
      </x:c>
      <x:c r="C31" s="136" t="n">
        <x:v>0</x:v>
      </x:c>
      <x:c r="D31" s="136" t="n">
        <x:v>0</x:v>
      </x:c>
      <x:c r="E31" s="136" t="n">
        <x:v>0</x:v>
      </x:c>
      <x:c r="F31" s="136" t="n">
        <x:v>0</x:v>
      </x:c>
    </x:row>
    <x:row r="32">
      <x:c r="A32" s="135" t="str">
        <x:v>HATİCEKUŞ KARAKURT</x:v>
      </x:c>
      <x:c r="B32" s="135" t="str">
        <x:v>1-Dresden (40€), 5-Tuna T. (40€)</x:v>
      </x:c>
      <x:c r="C32" s="136" t="n">
        <x:v>80</x:v>
      </x:c>
      <x:c r="D32" s="136" t="n">
        <x:v>0</x:v>
      </x:c>
      <x:c r="E32" s="136" t="n">
        <x:v>0</x:v>
      </x:c>
      <x:c r="F32" s="136" t="n">
        <x:v>80</x:v>
      </x:c>
    </x:row>
    <x:row r="33">
      <x:c r="A33" s="135" t="str">
        <x:v>ALPTEKİNKARAKURT</x:v>
      </x:c>
      <x:c r="B33" s="135" t="str">
        <x:v>1-Dresden (40€), 5-Tuna T. (40€)</x:v>
      </x:c>
      <x:c r="C33" s="136" t="n">
        <x:v>80</x:v>
      </x:c>
      <x:c r="D33" s="136" t="n">
        <x:v>0</x:v>
      </x:c>
      <x:c r="E33" s="136" t="n">
        <x:v>0</x:v>
      </x:c>
      <x:c r="F33" s="136" t="n">
        <x:v>80</x:v>
      </x:c>
    </x:row>
    <x:row r="34">
      <x:c r="A34" s="135" t="str">
        <x:v>ASYA BALIMKARAKURT</x:v>
      </x:c>
      <x:c r="B34" s="135" t="str">
        <x:v>5-Tuna T. (40€)</x:v>
      </x:c>
      <x:c r="C34" s="136" t="n">
        <x:v>40</x:v>
      </x:c>
      <x:c r="D34" s="136" t="n">
        <x:v>0</x:v>
      </x:c>
      <x:c r="E34" s="136" t="n">
        <x:v>0</x:v>
      </x:c>
      <x:c r="F34" s="136" t="n">
        <x:v>40</x:v>
      </x:c>
    </x:row>
    <x:row r="35">
      <x:c r="A35" s="135" t="str">
        <x:v>DAMLAKİREMİTCİ</x:v>
      </x:c>
      <x:c r="B35" s="135" t="str">
        <x:v>1-Dresden (40€), 2-Tekne (50€), 3-KV (60€), 8-Bratislava (40€)</x:v>
      </x:c>
      <x:c r="C35" s="136" t="n">
        <x:v>190</x:v>
      </x:c>
      <x:c r="D35" s="136" t="n">
        <x:v>0</x:v>
      </x:c>
      <x:c r="E35" s="136" t="n">
        <x:v>0</x:v>
      </x:c>
      <x:c r="F35" s="136" t="n">
        <x:v>190</x:v>
      </x:c>
    </x:row>
    <x:row r="36">
      <x:c r="A36" s="135" t="str">
        <x:v>ALTANKİREMİTCİ</x:v>
      </x:c>
      <x:c r="B36" s="135" t="str">
        <x:v>1-Dresden (40€), 2-Tekne (50€), 3-KV (60€), 8-Bratislava (40€)</x:v>
      </x:c>
      <x:c r="C36" s="136" t="n">
        <x:v>190</x:v>
      </x:c>
      <x:c r="D36" s="136" t="n">
        <x:v>0</x:v>
      </x:c>
      <x:c r="E36" s="136" t="n">
        <x:v>0</x:v>
      </x:c>
      <x:c r="F36" s="136" t="n">
        <x:v>190</x:v>
      </x:c>
    </x:row>
    <x:row r="37">
      <x:c r="A37" s="135" t="str">
        <x:v>ARYAKİREMİTCİ</x:v>
      </x:c>
      <x:c r="B37" s="135" t="str">
        <x:v>Tur satışı yok</x:v>
      </x:c>
      <x:c r="C37" s="136" t="n">
        <x:v>0</x:v>
      </x:c>
      <x:c r="D37" s="136" t="n">
        <x:v>0</x:v>
      </x:c>
      <x:c r="E37" s="136" t="n">
        <x:v>0</x:v>
      </x:c>
      <x:c r="F37" s="136" t="n">
        <x:v>0</x:v>
      </x:c>
    </x:row>
    <x:row r="38">
      <x:c r="A38" s="135" t="str">
        <x:v>EMİNEDUZ</x:v>
      </x:c>
      <x:c r="B38" s="135" t="str">
        <x:v>1-Dresden (40€), 2-Tekne (50€), 5-Tuna T. (40€), 6-Estergom (60€), 9-Hallstatt (100€)</x:v>
      </x:c>
      <x:c r="C38" s="136" t="n">
        <x:v>290</x:v>
      </x:c>
      <x:c r="D38" s="136" t="n">
        <x:v>0</x:v>
      </x:c>
      <x:c r="E38" s="136" t="n">
        <x:v>0</x:v>
      </x:c>
      <x:c r="F38" s="136" t="n">
        <x:v>290</x:v>
      </x:c>
    </x:row>
    <x:row r="39">
      <x:c r="A39" s="135" t="str">
        <x:v>AYLİZKOCABAŞ</x:v>
      </x:c>
      <x:c r="B39" s="135" t="str">
        <x:v>1-Dresden (40€), 2-Tekne (50€), 5-Tuna T. (40€), 6-Estergom (60€), 9-Hallstatt (100€)</x:v>
      </x:c>
      <x:c r="C39" s="136" t="n">
        <x:v>290</x:v>
      </x:c>
      <x:c r="D39" s="136" t="n">
        <x:v>0</x:v>
      </x:c>
      <x:c r="E39" s="136" t="n">
        <x:v>0</x:v>
      </x:c>
      <x:c r="F39" s="136" t="n">
        <x:v>290</x:v>
      </x:c>
    </x:row>
    <x:row r="40">
      <x:c r="A40" s="135" t="str">
        <x:v>MERVEKOCABAŞ</x:v>
      </x:c>
      <x:c r="B40" s="135" t="str">
        <x:v>1-Dresden (40€), 2-Tekne (50€), 5-Tuna T. (40€), 6-Estergom (60€), 9-Hallstatt (100€)</x:v>
      </x:c>
      <x:c r="C40" s="136" t="n">
        <x:v>290</x:v>
      </x:c>
      <x:c r="D40" s="136" t="n">
        <x:v>0</x:v>
      </x:c>
      <x:c r="E40" s="136" t="n">
        <x:v>0</x:v>
      </x:c>
      <x:c r="F40" s="136" t="n">
        <x:v>290</x:v>
      </x:c>
    </x:row>
    <x:row r="41">
      <x:c r="A41" s="135" t="str">
        <x:v>BerkanKaya</x:v>
      </x:c>
      <x:c r="B41" s="135" t="str">
        <x:v>1-Dresden (40€), 2-Tekne (50€), 3-KV (60€), 4-Çek G. (65€), 5-Tuna T. (40€), 6-Estergom (60€), 8-Bratislava (40€)</x:v>
      </x:c>
      <x:c r="C41" s="136" t="n">
        <x:v>355</x:v>
      </x:c>
      <x:c r="D41" s="136" t="n">
        <x:v>0</x:v>
      </x:c>
      <x:c r="E41" s="136" t="n">
        <x:v>0</x:v>
      </x:c>
      <x:c r="F41" s="136" t="n">
        <x:v>355</x:v>
      </x:c>
    </x:row>
    <x:row r="42">
      <x:c r="A42" s="135" t="str">
        <x:v>SENEMKAYA</x:v>
      </x:c>
      <x:c r="B42" s="135" t="str">
        <x:v>1-Dresden (40€), 2-Tekne (50€), 3-KV (60€), 4-Çek G. (65€), 5-Tuna T. (40€), 6-Estergom (60€), 8-Bratislava (40€)</x:v>
      </x:c>
      <x:c r="C42" s="136" t="n">
        <x:v>355</x:v>
      </x:c>
      <x:c r="D42" s="136" t="n">
        <x:v>0</x:v>
      </x:c>
      <x:c r="E42" s="136" t="n">
        <x:v>0</x:v>
      </x:c>
      <x:c r="F42" s="136" t="n">
        <x:v>355</x:v>
      </x:c>
    </x:row>
    <x:row r="43">
      <x:c r="A43" s="135" t="str">
        <x:v>MECİTUYGUN</x:v>
      </x:c>
      <x:c r="B43" s="135" t="str">
        <x:v>1-Dresden (40€), 2-Tekne (50€), 6-Estergom (60€), 9-Hallstatt (100€)</x:v>
      </x:c>
      <x:c r="C43" s="136" t="n">
        <x:v>250</x:v>
      </x:c>
      <x:c r="D43" s="136" t="n">
        <x:v>0</x:v>
      </x:c>
      <x:c r="E43" s="136" t="n">
        <x:v>0</x:v>
      </x:c>
      <x:c r="F43" s="136" t="n">
        <x:v>250</x:v>
      </x:c>
    </x:row>
    <x:row r="44">
      <x:c r="A44" s="135" t="str">
        <x:v>ASİYEUYGUN</x:v>
      </x:c>
      <x:c r="B44" s="135" t="str">
        <x:v>1-Dresden (40€), 2-Tekne (50€), 6-Estergom (60€), 9-Hallstatt (100€)</x:v>
      </x:c>
      <x:c r="C44" s="136" t="n">
        <x:v>250</x:v>
      </x:c>
      <x:c r="D44" s="136" t="n">
        <x:v>0</x:v>
      </x:c>
      <x:c r="E44" s="136" t="n">
        <x:v>0</x:v>
      </x:c>
      <x:c r="F44" s="136" t="n">
        <x:v>250</x:v>
      </x:c>
    </x:row>
    <x:row r="45">
      <x:c r="A45" s="135" t="str">
        <x:v>DEMİRUYGUN</x:v>
      </x:c>
      <x:c r="B45" s="135" t="str">
        <x:v>2-Tekne (50€), 9-Hallstatt (100€)</x:v>
      </x:c>
      <x:c r="C45" s="136" t="n">
        <x:v>150</x:v>
      </x:c>
      <x:c r="D45" s="136" t="n">
        <x:v>0</x:v>
      </x:c>
      <x:c r="E45" s="136" t="n">
        <x:v>-10</x:v>
      </x:c>
      <x:c r="F45" s="136" t="n">
        <x:v>140</x:v>
      </x:c>
    </x:row>
    <x:row r="46">
      <x:c r="A46" s="135" t="str">
        <x:v>BARIŞUYGUN</x:v>
      </x:c>
      <x:c r="B46" s="135" t="str">
        <x:v>2-Tekne (50€)</x:v>
      </x:c>
      <x:c r="C46" s="136" t="n">
        <x:v>50</x:v>
      </x:c>
      <x:c r="D46" s="136" t="n">
        <x:v>0</x:v>
      </x:c>
      <x:c r="E46" s="136" t="n">
        <x:v>-10</x:v>
      </x:c>
      <x:c r="F46" s="136" t="n">
        <x:v>40</x:v>
      </x:c>
    </x:row>
    <x:row r="47">
      <x:c r="A47" s="135" t="str">
        <x:v>EMELİNAN</x:v>
      </x:c>
      <x:c r="B47" s="135" t="str">
        <x:v>1-Dresden (40€), 2-Tekne (50€), 5-Tuna T. (40€), 9-Hallstatt (100€)</x:v>
      </x:c>
      <x:c r="C47" s="136" t="n">
        <x:v>230</x:v>
      </x:c>
      <x:c r="D47" s="136" t="n">
        <x:v>0</x:v>
      </x:c>
      <x:c r="E47" s="136" t="n">
        <x:v>0</x:v>
      </x:c>
      <x:c r="F47" s="136" t="n">
        <x:v>230</x:v>
      </x:c>
    </x:row>
    <x:row r="48">
      <x:c r="A48" s="135" t="str">
        <x:v>ZAFERİNAN</x:v>
      </x:c>
      <x:c r="B48" s="135" t="str">
        <x:v>1-Dresden (40€), 2-Tekne (50€), 5-Tuna T. (40€), 9-Hallstatt (100€)</x:v>
      </x:c>
      <x:c r="C48" s="136" t="n">
        <x:v>230</x:v>
      </x:c>
      <x:c r="D48" s="136" t="n">
        <x:v>0</x:v>
      </x:c>
      <x:c r="E48" s="136" t="n">
        <x:v>0</x:v>
      </x:c>
      <x:c r="F48" s="136" t="n">
        <x:v>230</x:v>
      </x:c>
    </x:row>
    <x:row r="49">
      <x:c r="A49" s="135" t="str">
        <x:v>ASİLİNAN</x:v>
      </x:c>
      <x:c r="B49" s="135" t="str">
        <x:v>2-Tekne (50€)</x:v>
      </x:c>
      <x:c r="C49" s="136" t="n">
        <x:v>50</x:v>
      </x:c>
      <x:c r="D49" s="136" t="n">
        <x:v>0</x:v>
      </x:c>
      <x:c r="E49" s="136" t="n">
        <x:v>0</x:v>
      </x:c>
      <x:c r="F49" s="136" t="n">
        <x:v>50</x:v>
      </x:c>
    </x:row>
    <x:row r="50">
      <x:c r="A50" s="135" t="str">
        <x:v>DEMİRİNAN</x:v>
      </x:c>
      <x:c r="B50" s="135" t="str">
        <x:v>2-Tekne (50€)</x:v>
      </x:c>
      <x:c r="C50" s="136" t="n">
        <x:v>50</x:v>
      </x:c>
      <x:c r="D50" s="136" t="n">
        <x:v>0</x:v>
      </x:c>
      <x:c r="E50" s="136" t="n">
        <x:v>-10</x:v>
      </x:c>
      <x:c r="F50" s="136" t="n">
        <x:v>40</x:v>
      </x:c>
    </x:row>
    <x:row r="51">
      <x:c r="A51" s="135" t="str">
        <x:v>M. HUSEYINKIMYONOGLU</x:v>
      </x:c>
      <x:c r="B51" s="135" t="str">
        <x:v>1-Dresden (40€), 2-Tekne (50€), 4-Çek G. (65€), 5-Tuna T. (40€), 6-Estergom (60€), 8-Bratislava (40€), 9-Hallstatt (100€)</x:v>
      </x:c>
      <x:c r="C51" s="136" t="n">
        <x:v>395</x:v>
      </x:c>
      <x:c r="D51" s="136" t="n">
        <x:v>0</x:v>
      </x:c>
      <x:c r="E51" s="136" t="n">
        <x:v>0</x:v>
      </x:c>
      <x:c r="F51" s="136" t="n">
        <x:v>395</x:v>
      </x:c>
    </x:row>
    <x:row r="52">
      <x:c r="A52" s="135" t="str">
        <x:v>INANCKIMYONOGLU</x:v>
      </x:c>
      <x:c r="B52" s="135" t="str">
        <x:v>1-Dresden (40€), 2-Tekne (50€), 4-Çek G. (65€), 5-Tuna T. (40€), 6-Estergom (60€), 8-Bratislava (40€), 9-Hallstatt (100€)</x:v>
      </x:c>
      <x:c r="C52" s="136" t="n">
        <x:v>395</x:v>
      </x:c>
      <x:c r="D52" s="136" t="n">
        <x:v>0</x:v>
      </x:c>
      <x:c r="E52" s="136" t="n">
        <x:v>0</x:v>
      </x:c>
      <x:c r="F52" s="136" t="n">
        <x:v>395</x:v>
      </x:c>
    </x:row>
    <x:row r="53">
      <x:c r="A53" s="135" t="str">
        <x:v>MEHMET LUTFIKIMYONOGLU</x:v>
      </x:c>
      <x:c r="B53" s="135" t="str">
        <x:v>1-Dresden (40€), 2-Tekne (50€), 4-Çek G. (65€), 5-Tuna T. (40€), 6-Estergom (60€), 8-Bratislava (40€), 9-Hallstatt (100€)</x:v>
      </x:c>
      <x:c r="C53" s="136" t="n">
        <x:v>395</x:v>
      </x:c>
      <x:c r="D53" s="136" t="n">
        <x:v>0</x:v>
      </x:c>
      <x:c r="E53" s="136" t="n">
        <x:v>0</x:v>
      </x:c>
      <x:c r="F53" s="136" t="n">
        <x:v>395</x:v>
      </x:c>
    </x:row>
    <x:row r="54">
      <x:c r="A54" s="135" t="str">
        <x:v>AZRAKIMYONOGLU</x:v>
      </x:c>
      <x:c r="B54" s="135" t="str">
        <x:v>2-Tekne (50€), 4-Çek G. (65€), 5-Tuna T. (40€), 9-Hallstatt (100€)</x:v>
      </x:c>
      <x:c r="C54" s="136" t="n">
        <x:v>255</x:v>
      </x:c>
      <x:c r="D54" s="136" t="n">
        <x:v>0</x:v>
      </x:c>
      <x:c r="E54" s="136" t="n">
        <x:v>-20</x:v>
      </x:c>
      <x:c r="F54" s="136" t="n">
        <x:v>235</x:v>
      </x:c>
    </x:row>
    <x:row r="55">
      <x:c r="A55" s="135" t="str">
        <x:v>SEMRAKEZBAN ARSLAN </x:v>
      </x:c>
      <x:c r="B55" s="135" t="str">
        <x:v>1-Dresden (40€), 2-Tekne (50€), 3-KV (60€), 4-Çek G. (65€), 5-Tuna T. (40€), 6-Estergom (60€), 8-Bratislava (40€), 9-Hallstatt (100€)</x:v>
      </x:c>
      <x:c r="C55" s="136" t="n">
        <x:v>455</x:v>
      </x:c>
      <x:c r="D55" s="136" t="n">
        <x:v>-25</x:v>
      </x:c>
      <x:c r="E55" s="136" t="n">
        <x:v>0</x:v>
      </x:c>
      <x:c r="F55" s="136" t="n">
        <x:v>430</x:v>
      </x:c>
    </x:row>
    <x:row r="56">
      <x:c r="A56" s="135" t="str">
        <x:v>ARZUSASMAZ</x:v>
      </x:c>
      <x:c r="B56" s="135" t="str">
        <x:v>1-Dresden (40€), 2-Tekne (50€), 4-Çek G. (65€), 6-Estergom (60€), 8-Bratislava (40€), 9-Hallstatt (100€)</x:v>
      </x:c>
      <x:c r="C56" s="136" t="n">
        <x:v>355</x:v>
      </x:c>
      <x:c r="D56" s="136" t="n">
        <x:v>-25</x:v>
      </x:c>
      <x:c r="E56" s="136" t="n">
        <x:v>0</x:v>
      </x:c>
      <x:c r="F56" s="136" t="n">
        <x:v>330</x:v>
      </x:c>
    </x:row>
    <x:row r="57">
      <x:c r="A57" s="135" t="str">
        <x:v>MUNTECEPSANLI </x:v>
      </x:c>
      <x:c r="B57" s="135" t="str">
        <x:v>1-Dresden (40€), 2-Tekne (50€), 3-KV (60€), 4-Çek G. (65€), 6-Estergom (60€), 8-Bratislava (40€), 9-Hallstatt (100€)</x:v>
      </x:c>
      <x:c r="C57" s="136" t="n">
        <x:v>415</x:v>
      </x:c>
      <x:c r="D57" s="136" t="n">
        <x:v>-25</x:v>
      </x:c>
      <x:c r="E57" s="136" t="n">
        <x:v>0</x:v>
      </x:c>
      <x:c r="F57" s="136" t="n">
        <x:v>390</x:v>
      </x:c>
    </x:row>
    <x:row r="58">
      <x:c r="A58" s="135" t="str">
        <x:v>SABAHATŞANLI</x:v>
      </x:c>
      <x:c r="B58" s="135" t="str">
        <x:v>1-Dresden (40€), 3-KV (60€), 4-Çek G. (65€), 6-Estergom (60€), 8-Bratislava (40€), 9-Hallstatt (100€)</x:v>
      </x:c>
      <x:c r="C58" s="136" t="n">
        <x:v>365</x:v>
      </x:c>
      <x:c r="D58" s="136" t="n">
        <x:v>-25</x:v>
      </x:c>
      <x:c r="E58" s="136" t="n">
        <x:v>0</x:v>
      </x:c>
      <x:c r="F58" s="136" t="n">
        <x:v>340</x:v>
      </x:c>
    </x:row>
    <x:row r="59">
      <x:c r="A59" s="135" t="str">
        <x:v>HAYDAR ERCAN  </x:v>
      </x:c>
      <x:c r="B59" s="135" t="str">
        <x:v>1-Dresden (40€), 3-KV (60€), 4-Çek G. (65€), 5-Tuna T. (40€), 6-Estergom (60€), 7-Çigan (70€), 8-Bratislava (40€), 9-Hallstatt (100€)</x:v>
      </x:c>
      <x:c r="C59" s="136" t="n">
        <x:v>475</x:v>
      </x:c>
      <x:c r="D59" s="136" t="n">
        <x:v>-25</x:v>
      </x:c>
      <x:c r="E59" s="136" t="n">
        <x:v>0</x:v>
      </x:c>
      <x:c r="F59" s="136" t="n">
        <x:v>450</x:v>
      </x:c>
    </x:row>
    <x:row r="60">
      <x:c r="A60" s="135" t="str">
        <x:v>SİBEL ERCAN  </x:v>
      </x:c>
      <x:c r="B60" s="135" t="str">
        <x:v>1-Dresden (40€), 3-KV (60€), 4-Çek G. (65€), 5-Tuna T. (40€), 6-Estergom (60€), 7-Çigan (70€), 8-Bratislava (40€), 9-Hallstatt (100€)</x:v>
      </x:c>
      <x:c r="C60" s="136" t="n">
        <x:v>475</x:v>
      </x:c>
      <x:c r="D60" s="136" t="n">
        <x:v>-25</x:v>
      </x:c>
      <x:c r="E60" s="136" t="n">
        <x:v>0</x:v>
      </x:c>
      <x:c r="F60" s="136" t="n">
        <x:v>450</x:v>
      </x:c>
    </x:row>
    <x:row r="61">
      <x:c r="A61" s="135" t="str">
        <x:v>HİLAL SANLI </x:v>
      </x:c>
      <x:c r="B61" s="135" t="str">
        <x:v>1-Dresden (40€), 2-Tekne (50€), 3-KV (60€), 4-Çek G. (65€), 5-Tuna T. (40€), 6-Estergom (60€), 8-Bratislava (40€), 9-Hallstatt (100€)</x:v>
      </x:c>
      <x:c r="C61" s="136" t="n">
        <x:v>455</x:v>
      </x:c>
      <x:c r="D61" s="136" t="n">
        <x:v>-25</x:v>
      </x:c>
      <x:c r="E61" s="136" t="n">
        <x:v>0</x:v>
      </x:c>
      <x:c r="F61" s="136" t="n">
        <x:v>430</x:v>
      </x:c>
    </x:row>
    <x:row r="62">
      <x:c r="A62" s="135" t="str">
        <x:v>LİNAŞANLI </x:v>
      </x:c>
      <x:c r="B62" s="135" t="str">
        <x:v>1-Dresden (40€), 2-Tekne (50€), 3-KV (60€), 4-Çek G. (65€), 5-Tuna T. (40€), 6-Estergom (60€), 8-Bratislava (40€), 9-Hallstatt (100€)</x:v>
      </x:c>
      <x:c r="C62" s="136" t="n">
        <x:v>455</x:v>
      </x:c>
      <x:c r="D62" s="136" t="n">
        <x:v>-25</x:v>
      </x:c>
      <x:c r="E62" s="136" t="n">
        <x:v>0</x:v>
      </x:c>
      <x:c r="F62" s="136" t="n">
        <x:v>430</x:v>
      </x:c>
    </x:row>
    <x:row r="63">
      <x:c r="A63" s="135" t="str">
        <x:v>GÜLÇİN  DURMAZ </x:v>
      </x:c>
      <x:c r="B63" s="135" t="str">
        <x:v>1-Dresden (40€), 2-Tekne (50€), 3-KV (60€), 4-Çek G. (65€), 6-Estergom (60€), 8-Bratislava (40€), 9-Hallstatt (100€)</x:v>
      </x:c>
      <x:c r="C63" s="136" t="n">
        <x:v>415</x:v>
      </x:c>
      <x:c r="D63" s="136" t="n">
        <x:v>-25</x:v>
      </x:c>
      <x:c r="E63" s="136" t="n">
        <x:v>0</x:v>
      </x:c>
      <x:c r="F63" s="136" t="n">
        <x:v>390</x:v>
      </x:c>
    </x:row>
    <x:row r="64">
      <x:c r="A64" s="135" t="str">
        <x:v>KENAN KAYRA  DAN </x:v>
      </x:c>
      <x:c r="B64" s="135" t="str">
        <x:v>1-Dresden (40€), 2-Tekne (50€), 3-KV (60€), 4-Çek G. (65€), 6-Estergom (60€), 8-Bratislava (40€), 9-Hallstatt (100€)</x:v>
      </x:c>
      <x:c r="C64" s="136" t="n">
        <x:v>415</x:v>
      </x:c>
      <x:c r="D64" s="136" t="n">
        <x:v>-25</x:v>
      </x:c>
      <x:c r="E64" s="136" t="n">
        <x:v>0</x:v>
      </x:c>
      <x:c r="F64" s="136" t="n">
        <x:v>390</x:v>
      </x:c>
    </x:row>
    <x:row r="65">
      <x:c r="A65" s="135" t="str">
        <x:v>MERT BUGRA DAN </x:v>
      </x:c>
      <x:c r="B65" s="135" t="str">
        <x:v>1-Dresden (40€), 2-Tekne (50€), 3-KV (60€), 4-Çek G. (65€), 6-Estergom (60€), 8-Bratislava (40€), 9-Hallstatt (100€)</x:v>
      </x:c>
      <x:c r="C65" s="136" t="n">
        <x:v>415</x:v>
      </x:c>
      <x:c r="D65" s="136" t="n">
        <x:v>-25</x:v>
      </x:c>
      <x:c r="E65" s="136" t="n">
        <x:v>-70</x:v>
      </x:c>
      <x:c r="F65" s="136" t="n">
        <x:v>320</x:v>
      </x:c>
    </x:row>
    <x:row r="66">
      <x:c r="A66" s="135" t="str">
        <x:v>SEDAT ÖZDEMİR</x:v>
      </x:c>
      <x:c r="B66" s="135" t="str">
        <x:v>1-Dresden (40€), 2-Tekne (50€), 3-KV (60€), 4-Çek G. (65€), 5-Tuna T. (40€), 6-Estergom (60€), 7-Çigan (70€), 8-Bratislava (40€), 9-Hallstatt (100€)</x:v>
      </x:c>
      <x:c r="C66" s="136" t="n">
        <x:v>525</x:v>
      </x:c>
      <x:c r="D66" s="136" t="n">
        <x:v>-25</x:v>
      </x:c>
      <x:c r="E66" s="136" t="n">
        <x:v>0</x:v>
      </x:c>
      <x:c r="F66" s="136" t="n">
        <x:v>500</x:v>
      </x:c>
    </x:row>
    <x:row r="67">
      <x:c r="A67" s="212" t="str">
        <x:v>TOPLAM</x:v>
      </x:c>
      <x:c r="B67" s="212"/>
      <x:c r="C67" s="213" t="n">
        <x:f>SUM(C20:C66)</x:f>
        <x:v>13250</x:v>
      </x:c>
      <x:c r="D67" s="213" t="n">
        <x:f>SUM(D20:D66)</x:f>
        <x:v>-300</x:v>
      </x:c>
      <x:c r="E67" s="213" t="n">
        <x:f>SUM(E20:E66)</x:f>
        <x:v>-120</x:v>
      </x:c>
      <x:c r="F67" s="213" t="n">
        <x:f>SUM(F20:F66)</x:f>
        <x:v>12830</x:v>
      </x:c>
    </x:row>
  </x:sheetData>
  <x:mergeCells>
    <x:mergeCell ref="A1:E1"/>
    <x:mergeCell ref="G1:H1"/>
    <x:mergeCell ref="J1:L1"/>
    <x:mergeCell ref="A1:F1"/>
    <x:mergeCell ref="A3:F3"/>
    <x:mergeCell ref="A18:F18"/>
    <x:mergeCell ref="G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4" hidden="0" customWidth="1"/>
    <x:col min="3" max="3" width="17" hidden="0" customWidth="1"/>
    <x:col min="4" max="4" width="12" hidden="0" customWidth="1"/>
    <x:col min="5" max="5" width="14" hidden="0" customWidth="1"/>
    <x:col min="6" max="6" width="42" hidden="0" customWidth="1"/>
  </x:cols>
  <x:sheetData>
    <x:row r="1">
      <x:c r="A1" s="243" t="str">
        <x:v>Ersen Çelebi - PCS 1107 BE-PBV Hesap</x:v>
      </x:c>
      <x:c r="B1" s="243"/>
      <x:c r="C1" s="243"/>
      <x:c r="D1" s="243"/>
      <x:c r="E1" s="243"/>
      <x:c r="F1" s="243"/>
    </x:row>
    <x:row r="2">
      <x:c r="A2" s="89"/>
      <x:c r="B2" s="89"/>
      <x:c r="C2" s="89"/>
      <x:c r="D2" s="89"/>
      <x:c r="E2" s="89"/>
      <x:c r="F2" s="89"/>
    </x:row>
    <x:row r="3">
      <x:c r="A3" s="247" t="str">
        <x:v>Kalem</x:v>
      </x:c>
      <x:c r="B3" s="247" t="str">
        <x:v>Detay</x:v>
      </x:c>
      <x:c r="C3" s="265" t="str">
        <x:v>Tutar (€)</x:v>
      </x:c>
      <x:c r="D3" s="247" t="str">
        <x:v>Adet</x:v>
      </x:c>
      <x:c r="E3" s="265" t="str">
        <x:v>Birim (€)</x:v>
      </x:c>
      <x:c r="F3" s="247" t="str">
        <x:v>Not</x:v>
      </x:c>
    </x:row>
    <x:row r="4">
      <x:c r="A4" s="135" t="str">
        <x:v>Standart tur satış toplamı</x:v>
      </x:c>
      <x:c r="B4" s="135" t="str">
        <x:v>Satislistesi C:L toplamı</x:v>
      </x:c>
      <x:c r="C4" s="136" t="n">
        <x:f>SUM(Satislistesi!C50:L50)</x:f>
        <x:v>13250</x:v>
      </x:c>
      <x:c r="D4" s="135"/>
      <x:c r="E4" s="136"/>
      <x:c r="F4" s="135" t="str">
        <x:v>Paket turları 12 kişi için tamamlandı</x:v>
      </x:c>
    </x:row>
    <x:row r="5">
      <x:c r="A5" s="135" t="str">
        <x:v>Paket indirimi</x:v>
      </x:c>
      <x:c r="B5" s="135" t="str">
        <x:v>12 x 25 EUR</x:v>
      </x:c>
      <x:c r="C5" s="136" t="n">
        <x:f>Satislistesi!M50</x:f>
        <x:v>-300</x:v>
      </x:c>
      <x:c r="D5" s="135" t="n">
        <x:v>12</x:v>
      </x:c>
      <x:c r="E5" s="136" t="n">
        <x:v>25</x:v>
      </x:c>
      <x:c r="F5" s="135" t="str">
        <x:v>365 EUR yerine 340 EUR</x:v>
      </x:c>
    </x:row>
    <x:row r="6">
      <x:c r="A6" s="135" t="str">
        <x:v>Çocuk indirimi</x:v>
      </x:c>
      <x:c r="B6" s="135" t="str">
        <x:v>TurKatilim N2</x:v>
      </x:c>
      <x:c r="C6" s="136" t="n">
        <x:f>Satislistesi!N50</x:f>
        <x:v>-120</x:v>
      </x:c>
      <x:c r="D6" s="135" t="n">
        <x:v>12</x:v>
      </x:c>
      <x:c r="E6" s="136" t="n">
        <x:v>10</x:v>
      </x:c>
      <x:c r="F6" s="135" t="str">
        <x:v>Renkli işaretli 12 satış</x:v>
      </x:c>
    </x:row>
    <x:row r="7">
      <x:c r="A7" s="135" t="str">
        <x:v>Düzeltilmiş toplam satış</x:v>
      </x:c>
      <x:c r="B7" s="135" t="str">
        <x:v>Standart + paket + çocuk indirimi</x:v>
      </x:c>
      <x:c r="C7" s="136" t="n">
        <x:f>Satislistesi!O50+Satislistesi!M50</x:f>
        <x:v>12830</x:v>
      </x:c>
      <x:c r="D7" s="135"/>
      <x:c r="E7" s="136"/>
      <x:c r="F7" s="135" t="str"/>
    </x:row>
    <x:row r="8">
      <x:c r="A8" s="135" t="str">
        <x:v>Önceden alınan paket ödemeleri</x:v>
      </x:c>
      <x:c r="B8" s="135" t="str">
        <x:v>12 x 340 EUR</x:v>
      </x:c>
      <x:c r="C8" s="136" t="n">
        <x:v>-4080</x:v>
      </x:c>
      <x:c r="D8" s="135" t="n">
        <x:v>12</x:v>
      </x:c>
      <x:c r="E8" s="136" t="n">
        <x:v>340</x:v>
      </x:c>
      <x:c r="F8" s="135" t="str">
        <x:v>Nakit bakiyeden düşülür</x:v>
      </x:c>
    </x:row>
    <x:row r="9">
      <x:c r="A9" s="135" t="str">
        <x:v>Belgelendirilmiş tur giderleri</x:v>
      </x:c>
      <x:c r="B9" s="135" t="str">
        <x:v>Harcamalar detay toplamı</x:v>
      </x:c>
      <x:c r="C9" s="136" t="n">
        <x:f>-Harcamalar!I16</x:f>
        <x:v>-1372</x:v>
      </x:c>
      <x:c r="D9" s="135"/>
      <x:c r="E9" s="136"/>
      <x:c r="F9" s="135" t="str">
        <x:v>Kur ve eksik tutarlar girilince otomatik güncellenir</x:v>
      </x:c>
    </x:row>
    <x:row r="10">
      <x:c r="A10" s="135" t="str">
        <x:v>Günlük hizmet bedeli</x:v>
      </x:c>
      <x:c r="B10" s="135" t="str">
        <x:v>Mutabık kalınan tutar</x:v>
      </x:c>
      <x:c r="C10" s="136" t="n">
        <x:v>-375</x:v>
      </x:c>
      <x:c r="D10" s="135"/>
      <x:c r="E10" s="136"/>
      <x:c r="F10" s="135" t="str"/>
    </x:row>
    <x:row r="11">
      <x:c r="A11" s="135" t="str">
        <x:v>Komisyon</x:v>
      </x:c>
      <x:c r="B11" s="135" t="str">
        <x:v>Mutabık kalınan tutar</x:v>
      </x:c>
      <x:c r="C11" s="136" t="n">
        <x:v>-750</x:v>
      </x:c>
      <x:c r="D11" s="135"/>
      <x:c r="E11" s="136"/>
      <x:c r="F11" s="135" t="str"/>
    </x:row>
    <x:row r="12">
      <x:c r="A12" s="252" t="str">
        <x:v>KALAN NAKİT</x:v>
      </x:c>
      <x:c r="B12" s="252"/>
      <x:c r="C12" s="253" t="n">
        <x:f>C7+SUM(C8:C11)</x:f>
        <x:v>6253</x:v>
      </x:c>
      <x:c r="D12" s="252"/>
      <x:c r="E12" s="253"/>
      <x:c r="F12" s="252"/>
    </x:row>
    <x:row r="13">
      <x:c r="A13" s="139"/>
      <x:c r="B13" s="139"/>
      <x:c r="C13" s="140"/>
      <x:c r="D13" s="139"/>
      <x:c r="E13" s="140"/>
      <x:c r="F13" s="139"/>
    </x:row>
    <x:row r="14">
      <x:c r="A14" s="135"/>
      <x:c r="B14" s="135"/>
      <x:c r="C14" s="136"/>
      <x:c r="D14" s="135"/>
      <x:c r="E14" s="136"/>
      <x:c r="F14" s="135"/>
    </x:row>
    <x:row r="15">
      <x:c r="A15" s="263" t="str">
        <x:v>Gider Kontrolü</x:v>
      </x:c>
      <x:c r="B15" s="263"/>
      <x:c r="C15" s="264"/>
      <x:c r="D15" s="263"/>
      <x:c r="E15" s="264"/>
      <x:c r="F15" s="263"/>
    </x:row>
    <x:row r="16">
      <x:c r="A16" s="137" t="str">
        <x:v>Önceden bildirilen toplam gider</x:v>
      </x:c>
      <x:c r="B16" s="137" t="str"/>
      <x:c r="C16" s="138" t="n">
        <x:v>1442</x:v>
      </x:c>
      <x:c r="D16" s="137"/>
      <x:c r="E16" s="138"/>
      <x:c r="F16" s="137"/>
    </x:row>
    <x:row r="17">
      <x:c r="A17" s="135" t="str">
        <x:v>Detaylı belgelerden hesaplanan gider</x:v>
      </x:c>
      <x:c r="B17" s="135" t="str"/>
      <x:c r="C17" s="136" t="n">
        <x:f>Harcamalar!I16</x:f>
        <x:v>1372</x:v>
      </x:c>
      <x:c r="D17" s="135"/>
      <x:c r="E17" s="136"/>
      <x:c r="F17" s="135"/>
    </x:row>
    <x:row r="18">
      <x:c r="A18" s="137" t="str">
        <x:v>Eksik / açıklanmayan fark</x:v>
      </x:c>
      <x:c r="B18" s="137" t="str"/>
      <x:c r="C18" s="138" t="n">
        <x:f>C16-C17</x:f>
        <x:v>70</x:v>
      </x:c>
      <x:c r="D18" s="137"/>
      <x:c r="E18" s="138"/>
      <x:c r="F18" s="137"/>
    </x:row>
    <x:row r="19">
      <x:c r="A19" s="135"/>
      <x:c r="B19" s="135"/>
      <x:c r="C19" s="136"/>
      <x:c r="D19" s="135"/>
      <x:c r="E19" s="136"/>
      <x:c r="F19" s="135"/>
    </x:row>
    <x:row r="20">
      <x:c r="A20" s="135"/>
      <x:c r="B20" s="135"/>
      <x:c r="C20" s="150"/>
      <x:c r="D20" s="135"/>
      <x:c r="E20" s="136"/>
      <x:c r="F20" s="135"/>
    </x:row>
    <x:row r="21">
      <x:c r="A21" s="135"/>
      <x:c r="B21" s="135"/>
      <x:c r="C21" s="150"/>
      <x:c r="D21" s="135"/>
      <x:c r="E21" s="136"/>
      <x:c r="F21" s="135"/>
    </x:row>
    <x:row r="22">
      <x:c r="A22" s="135"/>
      <x:c r="B22" s="135"/>
      <x:c r="C22" s="150"/>
      <x:c r="D22" s="135"/>
      <x:c r="E22" s="136"/>
      <x:c r="F22" s="135"/>
    </x:row>
    <x:row r="23">
      <x:c r="A23" s="135"/>
      <x:c r="B23" s="135"/>
      <x:c r="C23" s="150"/>
      <x:c r="D23" s="135"/>
      <x:c r="E23" s="136"/>
      <x:c r="F23" s="135"/>
    </x:row>
    <x:row r="24">
      <x:c r="A24" s="139"/>
      <x:c r="B24" s="139"/>
      <x:c r="C24" s="154"/>
      <x:c r="D24" s="139"/>
      <x:c r="E24" s="140"/>
      <x:c r="F24" s="139"/>
    </x:row>
    <x:row r="25">
      <x:c r="A25" s="135"/>
      <x:c r="B25" s="135"/>
      <x:c r="C25" s="136"/>
      <x:c r="D25" s="135"/>
      <x:c r="E25" s="136"/>
      <x:c r="F25" s="135"/>
    </x:row>
    <x:row r="26">
      <x:c r="A26" s="137"/>
      <x:c r="B26" s="137"/>
      <x:c r="C26" s="138"/>
      <x:c r="D26" s="137"/>
      <x:c r="E26" s="138"/>
      <x:c r="F26" s="137"/>
    </x:row>
    <x:row r="27">
      <x:c r="A27" s="135"/>
      <x:c r="B27" s="135"/>
      <x:c r="C27" s="136"/>
      <x:c r="D27" s="135"/>
      <x:c r="E27" s="136"/>
      <x:c r="F27" s="135"/>
    </x:row>
    <x:row r="28">
      <x:c r="A28" s="135"/>
      <x:c r="B28" s="135"/>
      <x:c r="C28" s="136"/>
      <x:c r="D28" s="135"/>
      <x:c r="E28" s="136"/>
      <x:c r="F28" s="135"/>
    </x:row>
    <x:row r="29">
      <x:c r="A29" s="135"/>
      <x:c r="B29" s="135"/>
      <x:c r="C29" s="150"/>
      <x:c r="D29" s="135"/>
      <x:c r="E29" s="136"/>
      <x:c r="F29" s="135"/>
    </x:row>
  </x:sheetData>
  <x:mergeCells>
    <x:mergeCell ref="A1:F1"/>
    <x:mergeCell ref="A16:F16"/>
    <x:mergeCell ref="A15:F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4" hidden="0" customWidth="1"/>
  </x:cols>
  <x:sheetData>
    <x:row r="1" ht="26" customHeight="1">
      <x:c r="A1" s="110" t="str">
        <x:v>PCS 1107 BE-PBV - Ersen Satış Listesi</x:v>
      </x:c>
      <x:c r="B1" s="110"/>
      <x:c r="C1" s="110"/>
      <x:c r="D1" s="110"/>
      <x:c r="E1" s="110"/>
      <x:c r="F1" s="110"/>
      <x:c r="G1" s="110"/>
      <x:c r="H1" s="110"/>
      <x:c r="I1" s="110"/>
      <x:c r="J1" s="110"/>
      <x:c r="K1" s="110"/>
      <x:c r="L1" s="110"/>
      <x:c r="M1" s="110"/>
      <x:c r="N1" s="110"/>
      <x:c r="O1" s="110"/>
    </x:row>
    <x:row r="2">
      <x:c r="A2" s="111" t="str">
        <x:v>İsim Soyad</x:v>
      </x:c>
      <x:c r="B2" s="111" t="str">
        <x:v>Geldi</x:v>
      </x:c>
      <x:c r="C2" s="111" t="str">
        <x:v>1-Dresden (40€)</x:v>
      </x:c>
      <x:c r="D2" s="111" t="str">
        <x:v>2-Tekne (50€)</x:v>
      </x:c>
      <x:c r="E2" s="111" t="str">
        <x:v>3-KV (60€)</x:v>
      </x:c>
      <x:c r="F2" s="111" t="str">
        <x:v>4-Çek G. (65€)</x:v>
      </x:c>
      <x:c r="G2" s="111" t="str">
        <x:v>5-Tuna T. (40€)</x:v>
      </x:c>
      <x:c r="H2" s="111" t="str">
        <x:v>6-Estergom (60€)</x:v>
      </x:c>
      <x:c r="I2" s="111" t="str">
        <x:v>7-Çigan (70€)</x:v>
      </x:c>
      <x:c r="J2" s="111" t="str">
        <x:v>8-Bratislava (40€)</x:v>
      </x:c>
      <x:c r="K2" s="111" t="str">
        <x:v>9-Hallstatt (100€)</x:v>
      </x:c>
      <x:c r="L2" s="111" t="str">
        <x:v>10-Konser (65€)</x:v>
      </x:c>
      <x:c r="M2" s="111" t="str">
        <x:v>Paket İndirimi</x:v>
      </x:c>
      <x:c r="N2" s="111" t="str">
        <x:v>Renk İndirimi</x:v>
      </x:c>
      <x:c r="O2" s="111" t="str">
        <x:v>TurKatilim Grand Total (€)</x:v>
      </x:c>
    </x:row>
    <x:row r="3">
      <x:c r="A3" s="112" t="str">
        <x:f>TurKatilim!A3</x:f>
        <x:v>AYSUNUYGUN</x:v>
      </x:c>
      <x:c r="B3" s="112" t="b">
        <x:f>TurKatilim!N3</x:f>
        <x:v>0</x:v>
      </x:c>
      <x:c r="C3" s="113" t="n">
        <x:f>IF(TurKatilim!B3,40,0)</x:f>
        <x:v>40</x:v>
      </x:c>
      <x:c r="D3" s="113" t="n">
        <x:f>IF(TurKatilim!C3,50,0)</x:f>
        <x:v>50</x:v>
      </x:c>
      <x:c r="E3" s="113" t="n">
        <x:f>IF(TurKatilim!D3,60,0)</x:f>
        <x:v>60</x:v>
      </x:c>
      <x:c r="F3" s="113" t="n">
        <x:f>IF(TurKatilim!E3,65,0)</x:f>
        <x:v>65</x:v>
      </x:c>
      <x:c r="G3" s="113" t="n">
        <x:f>IF(TurKatilim!F3,40,0)</x:f>
        <x:v>40</x:v>
      </x:c>
      <x:c r="H3" s="113" t="n">
        <x:f>IF(TurKatilim!G3,60,0)</x:f>
        <x:v>60</x:v>
      </x:c>
      <x:c r="I3" s="113" t="n">
        <x:f>IF(TurKatilim!H3,70,0)</x:f>
        <x:v>70</x:v>
      </x:c>
      <x:c r="J3" s="113" t="n">
        <x:f>IF(TurKatilim!I3,40,0)</x:f>
        <x:v>40</x:v>
      </x:c>
      <x:c r="K3" s="113" t="n">
        <x:f>IF(TurKatilim!J3,100,0)</x:f>
        <x:v>100</x:v>
      </x:c>
      <x:c r="L3" s="113" t="n">
        <x:f>IF(TurKatilim!L3,65,0)</x:f>
        <x:v>65</x:v>
      </x:c>
      <x:c r="M3" s="113" t="n">
        <x:v>0</x:v>
      </x:c>
      <x:c r="N3" s="113" t="n">
        <x:v>0</x:v>
      </x:c>
      <x:c r="O3" s="113" t="n">
        <x:f>SUM(C3:L3)+N3</x:f>
        <x:v>590</x:v>
      </x:c>
    </x:row>
    <x:row r="4">
      <x:c r="A4" s="112" t="str">
        <x:f>TurKatilim!A4</x:f>
        <x:v>Mehmet BarışAltun</x:v>
      </x:c>
      <x:c r="B4" s="112" t="b">
        <x:f>TurKatilim!N4</x:f>
        <x:v>0</x:v>
      </x:c>
      <x:c r="C4" s="113" t="n">
        <x:f>IF(TurKatilim!B4,40,0)</x:f>
        <x:v>40</x:v>
      </x:c>
      <x:c r="D4" s="113" t="n">
        <x:f>IF(TurKatilim!C4,50,0)</x:f>
        <x:v>50</x:v>
      </x:c>
      <x:c r="E4" s="113" t="n">
        <x:f>IF(TurKatilim!D4,60,0)</x:f>
        <x:v>60</x:v>
      </x:c>
      <x:c r="F4" s="113" t="n">
        <x:f>IF(TurKatilim!E4,65,0)</x:f>
        <x:v>0</x:v>
      </x:c>
      <x:c r="G4" s="113" t="n">
        <x:f>IF(TurKatilim!F4,40,0)</x:f>
        <x:v>40</x:v>
      </x:c>
      <x:c r="H4" s="113" t="n">
        <x:f>IF(TurKatilim!G4,60,0)</x:f>
        <x:v>60</x:v>
      </x:c>
      <x:c r="I4" s="113" t="n">
        <x:f>IF(TurKatilim!H4,70,0)</x:f>
        <x:v>70</x:v>
      </x:c>
      <x:c r="J4" s="113" t="n">
        <x:f>IF(TurKatilim!I4,40,0)</x:f>
        <x:v>0</x:v>
      </x:c>
      <x:c r="K4" s="113" t="n">
        <x:f>IF(TurKatilim!J4,100,0)</x:f>
        <x:v>100</x:v>
      </x:c>
      <x:c r="L4" s="113" t="n">
        <x:f>IF(TurKatilim!L4,65,0)</x:f>
        <x:v>0</x:v>
      </x:c>
      <x:c r="M4" s="113" t="n">
        <x:v>0</x:v>
      </x:c>
      <x:c r="N4" s="113" t="n">
        <x:v>0</x:v>
      </x:c>
      <x:c r="O4" s="113" t="n">
        <x:f>SUM(C4:L4)+N4</x:f>
        <x:v>420</x:v>
      </x:c>
    </x:row>
    <x:row r="5">
      <x:c r="A5" s="112" t="str">
        <x:f>TurKatilim!A5</x:f>
        <x:v>TugbaAltun</x:v>
      </x:c>
      <x:c r="B5" s="112" t="b">
        <x:f>TurKatilim!N5</x:f>
        <x:v>0</x:v>
      </x:c>
      <x:c r="C5" s="113" t="n">
        <x:f>IF(TurKatilim!B5,40,0)</x:f>
        <x:v>40</x:v>
      </x:c>
      <x:c r="D5" s="113" t="n">
        <x:f>IF(TurKatilim!C5,50,0)</x:f>
        <x:v>50</x:v>
      </x:c>
      <x:c r="E5" s="113" t="n">
        <x:f>IF(TurKatilim!D5,60,0)</x:f>
        <x:v>60</x:v>
      </x:c>
      <x:c r="F5" s="113" t="n">
        <x:f>IF(TurKatilim!E5,65,0)</x:f>
        <x:v>0</x:v>
      </x:c>
      <x:c r="G5" s="113" t="n">
        <x:f>IF(TurKatilim!F5,40,0)</x:f>
        <x:v>40</x:v>
      </x:c>
      <x:c r="H5" s="113" t="n">
        <x:f>IF(TurKatilim!G5,60,0)</x:f>
        <x:v>60</x:v>
      </x:c>
      <x:c r="I5" s="113" t="n">
        <x:f>IF(TurKatilim!H5,70,0)</x:f>
        <x:v>70</x:v>
      </x:c>
      <x:c r="J5" s="113" t="n">
        <x:f>IF(TurKatilim!I5,40,0)</x:f>
        <x:v>0</x:v>
      </x:c>
      <x:c r="K5" s="113" t="n">
        <x:f>IF(TurKatilim!J5,100,0)</x:f>
        <x:v>100</x:v>
      </x:c>
      <x:c r="L5" s="113" t="n">
        <x:f>IF(TurKatilim!L5,65,0)</x:f>
        <x:v>0</x:v>
      </x:c>
      <x:c r="M5" s="113" t="n">
        <x:v>0</x:v>
      </x:c>
      <x:c r="N5" s="113" t="n">
        <x:v>0</x:v>
      </x:c>
      <x:c r="O5" s="113" t="n">
        <x:f>SUM(C5:L5)+N5</x:f>
        <x:v>420</x:v>
      </x:c>
    </x:row>
    <x:row r="6">
      <x:c r="A6" s="112" t="str">
        <x:f>TurKatilim!A6</x:f>
        <x:v>Gül CananFettahlıoğlu</x:v>
      </x:c>
      <x:c r="B6" s="112" t="b">
        <x:f>TurKatilim!N6</x:f>
        <x:v>0</x:v>
      </x:c>
      <x:c r="C6" s="113" t="n">
        <x:f>IF(TurKatilim!B6,40,0)</x:f>
        <x:v>40</x:v>
      </x:c>
      <x:c r="D6" s="113" t="n">
        <x:f>IF(TurKatilim!C6,50,0)</x:f>
        <x:v>0</x:v>
      </x:c>
      <x:c r="E6" s="113" t="n">
        <x:f>IF(TurKatilim!D6,60,0)</x:f>
        <x:v>60</x:v>
      </x:c>
      <x:c r="F6" s="113" t="n">
        <x:f>IF(TurKatilim!E6,65,0)</x:f>
        <x:v>0</x:v>
      </x:c>
      <x:c r="G6" s="113" t="n">
        <x:f>IF(TurKatilim!F6,40,0)</x:f>
        <x:v>40</x:v>
      </x:c>
      <x:c r="H6" s="113" t="n">
        <x:f>IF(TurKatilim!G6,60,0)</x:f>
        <x:v>60</x:v>
      </x:c>
      <x:c r="I6" s="113" t="n">
        <x:f>IF(TurKatilim!H6,70,0)</x:f>
        <x:v>0</x:v>
      </x:c>
      <x:c r="J6" s="113" t="n">
        <x:f>IF(TurKatilim!I6,40,0)</x:f>
        <x:v>40</x:v>
      </x:c>
      <x:c r="K6" s="113" t="n">
        <x:f>IF(TurKatilim!J6,100,0)</x:f>
        <x:v>0</x:v>
      </x:c>
      <x:c r="L6" s="113" t="n">
        <x:f>IF(TurKatilim!L6,65,0)</x:f>
        <x:v>0</x:v>
      </x:c>
      <x:c r="M6" s="113" t="n">
        <x:v>0</x:v>
      </x:c>
      <x:c r="N6" s="113" t="n">
        <x:v>0</x:v>
      </x:c>
      <x:c r="O6" s="113" t="n">
        <x:f>SUM(C6:L6)+N6</x:f>
        <x:v>240</x:v>
      </x:c>
    </x:row>
    <x:row r="7">
      <x:c r="A7" s="112" t="str">
        <x:f>TurKatilim!A7</x:f>
        <x:v>Ramazan YaşarFettahlıoğlu</x:v>
      </x:c>
      <x:c r="B7" s="112" t="b">
        <x:f>TurKatilim!N7</x:f>
        <x:v>0</x:v>
      </x:c>
      <x:c r="C7" s="113" t="n">
        <x:f>IF(TurKatilim!B7,40,0)</x:f>
        <x:v>40</x:v>
      </x:c>
      <x:c r="D7" s="113" t="n">
        <x:f>IF(TurKatilim!C7,50,0)</x:f>
        <x:v>0</x:v>
      </x:c>
      <x:c r="E7" s="113" t="n">
        <x:f>IF(TurKatilim!D7,60,0)</x:f>
        <x:v>60</x:v>
      </x:c>
      <x:c r="F7" s="113" t="n">
        <x:f>IF(TurKatilim!E7,65,0)</x:f>
        <x:v>0</x:v>
      </x:c>
      <x:c r="G7" s="113" t="n">
        <x:f>IF(TurKatilim!F7,40,0)</x:f>
        <x:v>40</x:v>
      </x:c>
      <x:c r="H7" s="113" t="n">
        <x:f>IF(TurKatilim!G7,60,0)</x:f>
        <x:v>60</x:v>
      </x:c>
      <x:c r="I7" s="113" t="n">
        <x:f>IF(TurKatilim!H7,70,0)</x:f>
        <x:v>0</x:v>
      </x:c>
      <x:c r="J7" s="113" t="n">
        <x:f>IF(TurKatilim!I7,40,0)</x:f>
        <x:v>40</x:v>
      </x:c>
      <x:c r="K7" s="113" t="n">
        <x:f>IF(TurKatilim!J7,100,0)</x:f>
        <x:v>0</x:v>
      </x:c>
      <x:c r="L7" s="113" t="n">
        <x:f>IF(TurKatilim!L7,65,0)</x:f>
        <x:v>0</x:v>
      </x:c>
      <x:c r="M7" s="113" t="n">
        <x:v>0</x:v>
      </x:c>
      <x:c r="N7" s="113" t="n">
        <x:v>0</x:v>
      </x:c>
      <x:c r="O7" s="113" t="n">
        <x:f>SUM(C7:L7)+N7</x:f>
        <x:v>240</x:v>
      </x:c>
    </x:row>
    <x:row r="8">
      <x:c r="A8" s="112" t="str">
        <x:f>TurKatilim!A8</x:f>
        <x:v>Samiye NurFettahlıoğlu</x:v>
      </x:c>
      <x:c r="B8" s="112" t="b">
        <x:f>TurKatilim!N8</x:f>
        <x:v>0</x:v>
      </x:c>
      <x:c r="C8" s="113" t="n">
        <x:f>IF(TurKatilim!B8,40,0)</x:f>
        <x:v>40</x:v>
      </x:c>
      <x:c r="D8" s="113" t="n">
        <x:f>IF(TurKatilim!C8,50,0)</x:f>
        <x:v>0</x:v>
      </x:c>
      <x:c r="E8" s="113" t="n">
        <x:f>IF(TurKatilim!D8,60,0)</x:f>
        <x:v>60</x:v>
      </x:c>
      <x:c r="F8" s="113" t="n">
        <x:f>IF(TurKatilim!E8,65,0)</x:f>
        <x:v>0</x:v>
      </x:c>
      <x:c r="G8" s="113" t="n">
        <x:f>IF(TurKatilim!F8,40,0)</x:f>
        <x:v>40</x:v>
      </x:c>
      <x:c r="H8" s="113" t="n">
        <x:f>IF(TurKatilim!G8,60,0)</x:f>
        <x:v>60</x:v>
      </x:c>
      <x:c r="I8" s="113" t="n">
        <x:f>IF(TurKatilim!H8,70,0)</x:f>
        <x:v>0</x:v>
      </x:c>
      <x:c r="J8" s="113" t="n">
        <x:f>IF(TurKatilim!I8,40,0)</x:f>
        <x:v>40</x:v>
      </x:c>
      <x:c r="K8" s="113" t="n">
        <x:f>IF(TurKatilim!J8,100,0)</x:f>
        <x:v>0</x:v>
      </x:c>
      <x:c r="L8" s="113" t="n">
        <x:f>IF(TurKatilim!L8,65,0)</x:f>
        <x:v>0</x:v>
      </x:c>
      <x:c r="M8" s="113" t="n">
        <x:v>0</x:v>
      </x:c>
      <x:c r="N8" s="113" t="n">
        <x:v>0</x:v>
      </x:c>
      <x:c r="O8" s="113" t="n">
        <x:f>SUM(C8:L8)+N8</x:f>
        <x:v>240</x:v>
      </x:c>
    </x:row>
    <x:row r="9">
      <x:c r="A9" s="112" t="str">
        <x:f>TurKatilim!A9</x:f>
        <x:v>Abdullah CemFettahlıoğlu</x:v>
      </x:c>
      <x:c r="B9" s="112" t="b">
        <x:f>TurKatilim!N9</x:f>
        <x:v>0</x:v>
      </x:c>
      <x:c r="C9" s="113" t="n">
        <x:f>IF(TurKatilim!B9,40,0)</x:f>
        <x:v>0</x:v>
      </x:c>
      <x:c r="D9" s="113" t="n">
        <x:f>IF(TurKatilim!C9,50,0)</x:f>
        <x:v>0</x:v>
      </x:c>
      <x:c r="E9" s="113" t="n">
        <x:f>IF(TurKatilim!D9,60,0)</x:f>
        <x:v>0</x:v>
      </x:c>
      <x:c r="F9" s="113" t="n">
        <x:f>IF(TurKatilim!E9,65,0)</x:f>
        <x:v>0</x:v>
      </x:c>
      <x:c r="G9" s="113" t="n">
        <x:f>IF(TurKatilim!F9,40,0)</x:f>
        <x:v>40</x:v>
      </x:c>
      <x:c r="H9" s="113" t="n">
        <x:f>IF(TurKatilim!G9,60,0)</x:f>
        <x:v>60</x:v>
      </x:c>
      <x:c r="I9" s="113" t="n">
        <x:f>IF(TurKatilim!H9,70,0)</x:f>
        <x:v>0</x:v>
      </x:c>
      <x:c r="J9" s="113" t="n">
        <x:f>IF(TurKatilim!I9,40,0)</x:f>
        <x:v>40</x:v>
      </x:c>
      <x:c r="K9" s="113" t="n">
        <x:f>IF(TurKatilim!J9,100,0)</x:f>
        <x:v>0</x:v>
      </x:c>
      <x:c r="L9" s="113" t="n">
        <x:f>IF(TurKatilim!L9,65,0)</x:f>
        <x:v>0</x:v>
      </x:c>
      <x:c r="M9" s="113" t="n">
        <x:v>0</x:v>
      </x:c>
      <x:c r="N9" s="113" t="n">
        <x:v>0</x:v>
      </x:c>
      <x:c r="O9" s="113" t="n">
        <x:f>SUM(C9:L9)+N9</x:f>
        <x:v>140</x:v>
      </x:c>
    </x:row>
    <x:row r="10">
      <x:c r="A10" s="112" t="str">
        <x:f>TurKatilim!A10</x:f>
        <x:v>VacideSever</x:v>
      </x:c>
      <x:c r="B10" s="112" t="b">
        <x:f>TurKatilim!N10</x:f>
        <x:v>0</x:v>
      </x:c>
      <x:c r="C10" s="113" t="n">
        <x:f>IF(TurKatilim!B10,40,0)</x:f>
        <x:v>40</x:v>
      </x:c>
      <x:c r="D10" s="113" t="n">
        <x:f>IF(TurKatilim!C10,50,0)</x:f>
        <x:v>0</x:v>
      </x:c>
      <x:c r="E10" s="113" t="n">
        <x:f>IF(TurKatilim!D10,60,0)</x:f>
        <x:v>60</x:v>
      </x:c>
      <x:c r="F10" s="113" t="n">
        <x:f>IF(TurKatilim!E10,65,0)</x:f>
        <x:v>0</x:v>
      </x:c>
      <x:c r="G10" s="113" t="n">
        <x:f>IF(TurKatilim!F10,40,0)</x:f>
        <x:v>40</x:v>
      </x:c>
      <x:c r="H10" s="113" t="n">
        <x:f>IF(TurKatilim!G10,60,0)</x:f>
        <x:v>60</x:v>
      </x:c>
      <x:c r="I10" s="113" t="n">
        <x:f>IF(TurKatilim!H10,70,0)</x:f>
        <x:v>0</x:v>
      </x:c>
      <x:c r="J10" s="113" t="n">
        <x:f>IF(TurKatilim!I10,40,0)</x:f>
        <x:v>40</x:v>
      </x:c>
      <x:c r="K10" s="113" t="n">
        <x:f>IF(TurKatilim!J10,100,0)</x:f>
        <x:v>0</x:v>
      </x:c>
      <x:c r="L10" s="113" t="n">
        <x:f>IF(TurKatilim!L10,65,0)</x:f>
        <x:v>0</x:v>
      </x:c>
      <x:c r="M10" s="113" t="n">
        <x:v>0</x:v>
      </x:c>
      <x:c r="N10" s="113" t="n">
        <x:v>0</x:v>
      </x:c>
      <x:c r="O10" s="113" t="n">
        <x:f>SUM(C10:L10)+N10</x:f>
        <x:v>240</x:v>
      </x:c>
    </x:row>
    <x:row r="11">
      <x:c r="A11" s="112" t="str">
        <x:f>TurKatilim!A11</x:f>
        <x:v>MetinMutlu</x:v>
      </x:c>
      <x:c r="B11" s="112" t="b">
        <x:f>TurKatilim!N11</x:f>
        <x:v>0</x:v>
      </x:c>
      <x:c r="C11" s="113" t="n">
        <x:f>IF(TurKatilim!B11,40,0)</x:f>
        <x:v>40</x:v>
      </x:c>
      <x:c r="D11" s="113" t="n">
        <x:f>IF(TurKatilim!C11,50,0)</x:f>
        <x:v>0</x:v>
      </x:c>
      <x:c r="E11" s="113" t="n">
        <x:f>IF(TurKatilim!D11,60,0)</x:f>
        <x:v>60</x:v>
      </x:c>
      <x:c r="F11" s="113" t="n">
        <x:f>IF(TurKatilim!E11,65,0)</x:f>
        <x:v>0</x:v>
      </x:c>
      <x:c r="G11" s="113" t="n">
        <x:f>IF(TurKatilim!F11,40,0)</x:f>
        <x:v>40</x:v>
      </x:c>
      <x:c r="H11" s="113" t="n">
        <x:f>IF(TurKatilim!G11,60,0)</x:f>
        <x:v>60</x:v>
      </x:c>
      <x:c r="I11" s="113" t="n">
        <x:f>IF(TurKatilim!H11,70,0)</x:f>
        <x:v>0</x:v>
      </x:c>
      <x:c r="J11" s="113" t="n">
        <x:f>IF(TurKatilim!I11,40,0)</x:f>
        <x:v>40</x:v>
      </x:c>
      <x:c r="K11" s="113" t="n">
        <x:f>IF(TurKatilim!J11,100,0)</x:f>
        <x:v>0</x:v>
      </x:c>
      <x:c r="L11" s="113" t="n">
        <x:f>IF(TurKatilim!L11,65,0)</x:f>
        <x:v>0</x:v>
      </x:c>
      <x:c r="M11" s="113" t="n">
        <x:v>0</x:v>
      </x:c>
      <x:c r="N11" s="113" t="n">
        <x:v>0</x:v>
      </x:c>
      <x:c r="O11" s="113" t="n">
        <x:f>SUM(C11:L11)+N11</x:f>
        <x:v>240</x:v>
      </x:c>
    </x:row>
    <x:row r="12">
      <x:c r="A12" s="112" t="str">
        <x:f>TurKatilim!A12</x:f>
        <x:v>İBRAHİM HALİLERTAN</x:v>
      </x:c>
      <x:c r="B12" s="112" t="b">
        <x:f>TurKatilim!N12</x:f>
        <x:v>0</x:v>
      </x:c>
      <x:c r="C12" s="113" t="n">
        <x:f>IF(TurKatilim!B12,40,0)</x:f>
        <x:v>40</x:v>
      </x:c>
      <x:c r="D12" s="113" t="n">
        <x:f>IF(TurKatilim!C12,50,0)</x:f>
        <x:v>0</x:v>
      </x:c>
      <x:c r="E12" s="113" t="n">
        <x:f>IF(TurKatilim!D12,60,0)</x:f>
        <x:v>60</x:v>
      </x:c>
      <x:c r="F12" s="113" t="n">
        <x:f>IF(TurKatilim!E12,65,0)</x:f>
        <x:v>0</x:v>
      </x:c>
      <x:c r="G12" s="113" t="n">
        <x:f>IF(TurKatilim!F12,40,0)</x:f>
        <x:v>0</x:v>
      </x:c>
      <x:c r="H12" s="113" t="n">
        <x:f>IF(TurKatilim!G12,60,0)</x:f>
        <x:v>60</x:v>
      </x:c>
      <x:c r="I12" s="113" t="n">
        <x:f>IF(TurKatilim!H12,70,0)</x:f>
        <x:v>0</x:v>
      </x:c>
      <x:c r="J12" s="113" t="n">
        <x:f>IF(TurKatilim!I12,40,0)</x:f>
        <x:v>40</x:v>
      </x:c>
      <x:c r="K12" s="113" t="n">
        <x:f>IF(TurKatilim!J12,100,0)</x:f>
        <x:v>0</x:v>
      </x:c>
      <x:c r="L12" s="113" t="n">
        <x:f>IF(TurKatilim!L12,65,0)</x:f>
        <x:v>0</x:v>
      </x:c>
      <x:c r="M12" s="113" t="n">
        <x:v>0</x:v>
      </x:c>
      <x:c r="N12" s="113" t="n">
        <x:v>0</x:v>
      </x:c>
      <x:c r="O12" s="113" t="n">
        <x:f>SUM(C12:L12)+N12</x:f>
        <x:v>200</x:v>
      </x:c>
    </x:row>
    <x:row r="13">
      <x:c r="A13" s="112" t="str">
        <x:f>TurKatilim!A13</x:f>
        <x:v>TUBAERTAN</x:v>
      </x:c>
      <x:c r="B13" s="112" t="b">
        <x:f>TurKatilim!N13</x:f>
        <x:v>0</x:v>
      </x:c>
      <x:c r="C13" s="113" t="n">
        <x:f>IF(TurKatilim!B13,40,0)</x:f>
        <x:v>40</x:v>
      </x:c>
      <x:c r="D13" s="113" t="n">
        <x:f>IF(TurKatilim!C13,50,0)</x:f>
        <x:v>0</x:v>
      </x:c>
      <x:c r="E13" s="113" t="n">
        <x:f>IF(TurKatilim!D13,60,0)</x:f>
        <x:v>60</x:v>
      </x:c>
      <x:c r="F13" s="113" t="n">
        <x:f>IF(TurKatilim!E13,65,0)</x:f>
        <x:v>0</x:v>
      </x:c>
      <x:c r="G13" s="113" t="n">
        <x:f>IF(TurKatilim!F13,40,0)</x:f>
        <x:v>0</x:v>
      </x:c>
      <x:c r="H13" s="113" t="n">
        <x:f>IF(TurKatilim!G13,60,0)</x:f>
        <x:v>60</x:v>
      </x:c>
      <x:c r="I13" s="113" t="n">
        <x:f>IF(TurKatilim!H13,70,0)</x:f>
        <x:v>0</x:v>
      </x:c>
      <x:c r="J13" s="113" t="n">
        <x:f>IF(TurKatilim!I13,40,0)</x:f>
        <x:v>40</x:v>
      </x:c>
      <x:c r="K13" s="113" t="n">
        <x:f>IF(TurKatilim!J13,100,0)</x:f>
        <x:v>0</x:v>
      </x:c>
      <x:c r="L13" s="113" t="n">
        <x:f>IF(TurKatilim!L13,65,0)</x:f>
        <x:v>0</x:v>
      </x:c>
      <x:c r="M13" s="113" t="n">
        <x:v>0</x:v>
      </x:c>
      <x:c r="N13" s="113" t="n">
        <x:v>0</x:v>
      </x:c>
      <x:c r="O13" s="113" t="n">
        <x:f>SUM(C13:L13)+N13</x:f>
        <x:v>200</x:v>
      </x:c>
    </x:row>
    <x:row r="14">
      <x:c r="A14" s="112" t="str">
        <x:f>TurKatilim!A14</x:f>
        <x:v>BÜŞRA NEVİNERTAN</x:v>
      </x:c>
      <x:c r="B14" s="112" t="b">
        <x:f>TurKatilim!N14</x:f>
        <x:v>0</x:v>
      </x:c>
      <x:c r="C14" s="113" t="n">
        <x:f>IF(TurKatilim!B14,40,0)</x:f>
        <x:v>0</x:v>
      </x:c>
      <x:c r="D14" s="113" t="n">
        <x:f>IF(TurKatilim!C14,50,0)</x:f>
        <x:v>0</x:v>
      </x:c>
      <x:c r="E14" s="113" t="n">
        <x:f>IF(TurKatilim!D14,60,0)</x:f>
        <x:v>0</x:v>
      </x:c>
      <x:c r="F14" s="113" t="n">
        <x:f>IF(TurKatilim!E14,65,0)</x:f>
        <x:v>0</x:v>
      </x:c>
      <x:c r="G14" s="113" t="n">
        <x:f>IF(TurKatilim!F14,40,0)</x:f>
        <x:v>0</x:v>
      </x:c>
      <x:c r="H14" s="113" t="n">
        <x:f>IF(TurKatilim!G14,60,0)</x:f>
        <x:v>0</x:v>
      </x:c>
      <x:c r="I14" s="113" t="n">
        <x:f>IF(TurKatilim!H14,70,0)</x:f>
        <x:v>0</x:v>
      </x:c>
      <x:c r="J14" s="113" t="n">
        <x:f>IF(TurKatilim!I14,40,0)</x:f>
        <x:v>0</x:v>
      </x:c>
      <x:c r="K14" s="113" t="n">
        <x:f>IF(TurKatilim!J14,100,0)</x:f>
        <x:v>0</x:v>
      </x:c>
      <x:c r="L14" s="113" t="n">
        <x:f>IF(TurKatilim!L14,65,0)</x:f>
        <x:v>0</x:v>
      </x:c>
      <x:c r="M14" s="113" t="n">
        <x:v>0</x:v>
      </x:c>
      <x:c r="N14" s="113" t="n">
        <x:v>0</x:v>
      </x:c>
      <x:c r="O14" s="113" t="n">
        <x:f>SUM(C14:L14)+N14</x:f>
        <x:v>0</x:v>
      </x:c>
    </x:row>
    <x:row r="15">
      <x:c r="A15" s="112" t="str">
        <x:f>TurKatilim!A15</x:f>
        <x:v>HATİCEKUŞ KARAKURT</x:v>
      </x:c>
      <x:c r="B15" s="112" t="b">
        <x:f>TurKatilim!N15</x:f>
        <x:v>0</x:v>
      </x:c>
      <x:c r="C15" s="113" t="n">
        <x:f>IF(TurKatilim!B15,40,0)</x:f>
        <x:v>40</x:v>
      </x:c>
      <x:c r="D15" s="113" t="n">
        <x:f>IF(TurKatilim!C15,50,0)</x:f>
        <x:v>0</x:v>
      </x:c>
      <x:c r="E15" s="113" t="n">
        <x:f>IF(TurKatilim!D15,60,0)</x:f>
        <x:v>0</x:v>
      </x:c>
      <x:c r="F15" s="113" t="n">
        <x:f>IF(TurKatilim!E15,65,0)</x:f>
        <x:v>0</x:v>
      </x:c>
      <x:c r="G15" s="113" t="n">
        <x:f>IF(TurKatilim!F15,40,0)</x:f>
        <x:v>40</x:v>
      </x:c>
      <x:c r="H15" s="113" t="n">
        <x:f>IF(TurKatilim!G15,60,0)</x:f>
        <x:v>0</x:v>
      </x:c>
      <x:c r="I15" s="113" t="n">
        <x:f>IF(TurKatilim!H15,70,0)</x:f>
        <x:v>0</x:v>
      </x:c>
      <x:c r="J15" s="113" t="n">
        <x:f>IF(TurKatilim!I15,40,0)</x:f>
        <x:v>0</x:v>
      </x:c>
      <x:c r="K15" s="113" t="n">
        <x:f>IF(TurKatilim!J15,100,0)</x:f>
        <x:v>0</x:v>
      </x:c>
      <x:c r="L15" s="113" t="n">
        <x:f>IF(TurKatilim!L15,65,0)</x:f>
        <x:v>0</x:v>
      </x:c>
      <x:c r="M15" s="113" t="n">
        <x:v>0</x:v>
      </x:c>
      <x:c r="N15" s="113" t="n">
        <x:v>0</x:v>
      </x:c>
      <x:c r="O15" s="113" t="n">
        <x:f>SUM(C15:L15)+N15</x:f>
        <x:v>80</x:v>
      </x:c>
    </x:row>
    <x:row r="16">
      <x:c r="A16" s="112" t="str">
        <x:f>TurKatilim!A16</x:f>
        <x:v>ALPTEKİNKARAKURT</x:v>
      </x:c>
      <x:c r="B16" s="112" t="b">
        <x:f>TurKatilim!N16</x:f>
        <x:v>0</x:v>
      </x:c>
      <x:c r="C16" s="113" t="n">
        <x:f>IF(TurKatilim!B16,40,0)</x:f>
        <x:v>40</x:v>
      </x:c>
      <x:c r="D16" s="113" t="n">
        <x:f>IF(TurKatilim!C16,50,0)</x:f>
        <x:v>0</x:v>
      </x:c>
      <x:c r="E16" s="113" t="n">
        <x:f>IF(TurKatilim!D16,60,0)</x:f>
        <x:v>0</x:v>
      </x:c>
      <x:c r="F16" s="113" t="n">
        <x:f>IF(TurKatilim!E16,65,0)</x:f>
        <x:v>0</x:v>
      </x:c>
      <x:c r="G16" s="113" t="n">
        <x:f>IF(TurKatilim!F16,40,0)</x:f>
        <x:v>40</x:v>
      </x:c>
      <x:c r="H16" s="113" t="n">
        <x:f>IF(TurKatilim!G16,60,0)</x:f>
        <x:v>0</x:v>
      </x:c>
      <x:c r="I16" s="113" t="n">
        <x:f>IF(TurKatilim!H16,70,0)</x:f>
        <x:v>0</x:v>
      </x:c>
      <x:c r="J16" s="113" t="n">
        <x:f>IF(TurKatilim!I16,40,0)</x:f>
        <x:v>0</x:v>
      </x:c>
      <x:c r="K16" s="113" t="n">
        <x:f>IF(TurKatilim!J16,100,0)</x:f>
        <x:v>0</x:v>
      </x:c>
      <x:c r="L16" s="113" t="n">
        <x:f>IF(TurKatilim!L16,65,0)</x:f>
        <x:v>0</x:v>
      </x:c>
      <x:c r="M16" s="113" t="n">
        <x:v>0</x:v>
      </x:c>
      <x:c r="N16" s="113" t="n">
        <x:v>0</x:v>
      </x:c>
      <x:c r="O16" s="113" t="n">
        <x:f>SUM(C16:L16)+N16</x:f>
        <x:v>80</x:v>
      </x:c>
    </x:row>
    <x:row r="17">
      <x:c r="A17" s="112" t="str">
        <x:f>TurKatilim!A17</x:f>
        <x:v>ASYA BALIMKARAKURT</x:v>
      </x:c>
      <x:c r="B17" s="112" t="b">
        <x:f>TurKatilim!N17</x:f>
        <x:v>0</x:v>
      </x:c>
      <x:c r="C17" s="113" t="n">
        <x:f>IF(TurKatilim!B17,40,0)</x:f>
        <x:v>0</x:v>
      </x:c>
      <x:c r="D17" s="113" t="n">
        <x:f>IF(TurKatilim!C17,50,0)</x:f>
        <x:v>0</x:v>
      </x:c>
      <x:c r="E17" s="113" t="n">
        <x:f>IF(TurKatilim!D17,60,0)</x:f>
        <x:v>0</x:v>
      </x:c>
      <x:c r="F17" s="113" t="n">
        <x:f>IF(TurKatilim!E17,65,0)</x:f>
        <x:v>0</x:v>
      </x:c>
      <x:c r="G17" s="113" t="n">
        <x:f>IF(TurKatilim!F17,40,0)</x:f>
        <x:v>40</x:v>
      </x:c>
      <x:c r="H17" s="113" t="n">
        <x:f>IF(TurKatilim!G17,60,0)</x:f>
        <x:v>0</x:v>
      </x:c>
      <x:c r="I17" s="113" t="n">
        <x:f>IF(TurKatilim!H17,70,0)</x:f>
        <x:v>0</x:v>
      </x:c>
      <x:c r="J17" s="113" t="n">
        <x:f>IF(TurKatilim!I17,40,0)</x:f>
        <x:v>0</x:v>
      </x:c>
      <x:c r="K17" s="113" t="n">
        <x:f>IF(TurKatilim!J17,100,0)</x:f>
        <x:v>0</x:v>
      </x:c>
      <x:c r="L17" s="113" t="n">
        <x:f>IF(TurKatilim!L17,65,0)</x:f>
        <x:v>0</x:v>
      </x:c>
      <x:c r="M17" s="113" t="n">
        <x:v>0</x:v>
      </x:c>
      <x:c r="N17" s="113" t="n">
        <x:v>0</x:v>
      </x:c>
      <x:c r="O17" s="113" t="n">
        <x:f>SUM(C17:L17)+N17</x:f>
        <x:v>40</x:v>
      </x:c>
    </x:row>
    <x:row r="18">
      <x:c r="A18" s="112" t="str">
        <x:f>TurKatilim!A18</x:f>
        <x:v>DAMLAKİREMİTCİ</x:v>
      </x:c>
      <x:c r="B18" s="112" t="b">
        <x:f>TurKatilim!N18</x:f>
        <x:v>0</x:v>
      </x:c>
      <x:c r="C18" s="113" t="n">
        <x:f>IF(TurKatilim!B18,40,0)</x:f>
        <x:v>40</x:v>
      </x:c>
      <x:c r="D18" s="113" t="n">
        <x:f>IF(TurKatilim!C18,50,0)</x:f>
        <x:v>50</x:v>
      </x:c>
      <x:c r="E18" s="113" t="n">
        <x:f>IF(TurKatilim!D18,60,0)</x:f>
        <x:v>60</x:v>
      </x:c>
      <x:c r="F18" s="113" t="n">
        <x:f>IF(TurKatilim!E18,65,0)</x:f>
        <x:v>0</x:v>
      </x:c>
      <x:c r="G18" s="113" t="n">
        <x:f>IF(TurKatilim!F18,40,0)</x:f>
        <x:v>0</x:v>
      </x:c>
      <x:c r="H18" s="113" t="n">
        <x:f>IF(TurKatilim!G18,60,0)</x:f>
        <x:v>0</x:v>
      </x:c>
      <x:c r="I18" s="113" t="n">
        <x:f>IF(TurKatilim!H18,70,0)</x:f>
        <x:v>0</x:v>
      </x:c>
      <x:c r="J18" s="113" t="n">
        <x:f>IF(TurKatilim!I18,40,0)</x:f>
        <x:v>40</x:v>
      </x:c>
      <x:c r="K18" s="113" t="n">
        <x:f>IF(TurKatilim!J18,100,0)</x:f>
        <x:v>0</x:v>
      </x:c>
      <x:c r="L18" s="113" t="n">
        <x:f>IF(TurKatilim!L18,65,0)</x:f>
        <x:v>0</x:v>
      </x:c>
      <x:c r="M18" s="113" t="n">
        <x:v>0</x:v>
      </x:c>
      <x:c r="N18" s="113" t="n">
        <x:v>0</x:v>
      </x:c>
      <x:c r="O18" s="113" t="n">
        <x:f>SUM(C18:L18)+N18</x:f>
        <x:v>190</x:v>
      </x:c>
    </x:row>
    <x:row r="19">
      <x:c r="A19" s="112" t="str">
        <x:f>TurKatilim!A19</x:f>
        <x:v>ALTANKİREMİTCİ</x:v>
      </x:c>
      <x:c r="B19" s="112" t="b">
        <x:f>TurKatilim!N19</x:f>
        <x:v>0</x:v>
      </x:c>
      <x:c r="C19" s="113" t="n">
        <x:f>IF(TurKatilim!B19,40,0)</x:f>
        <x:v>40</x:v>
      </x:c>
      <x:c r="D19" s="113" t="n">
        <x:f>IF(TurKatilim!C19,50,0)</x:f>
        <x:v>50</x:v>
      </x:c>
      <x:c r="E19" s="113" t="n">
        <x:f>IF(TurKatilim!D19,60,0)</x:f>
        <x:v>60</x:v>
      </x:c>
      <x:c r="F19" s="113" t="n">
        <x:f>IF(TurKatilim!E19,65,0)</x:f>
        <x:v>0</x:v>
      </x:c>
      <x:c r="G19" s="113" t="n">
        <x:f>IF(TurKatilim!F19,40,0)</x:f>
        <x:v>0</x:v>
      </x:c>
      <x:c r="H19" s="113" t="n">
        <x:f>IF(TurKatilim!G19,60,0)</x:f>
        <x:v>0</x:v>
      </x:c>
      <x:c r="I19" s="113" t="n">
        <x:f>IF(TurKatilim!H19,70,0)</x:f>
        <x:v>0</x:v>
      </x:c>
      <x:c r="J19" s="113" t="n">
        <x:f>IF(TurKatilim!I19,40,0)</x:f>
        <x:v>40</x:v>
      </x:c>
      <x:c r="K19" s="113" t="n">
        <x:f>IF(TurKatilim!J19,100,0)</x:f>
        <x:v>0</x:v>
      </x:c>
      <x:c r="L19" s="113" t="n">
        <x:f>IF(TurKatilim!L19,65,0)</x:f>
        <x:v>0</x:v>
      </x:c>
      <x:c r="M19" s="113" t="n">
        <x:v>0</x:v>
      </x:c>
      <x:c r="N19" s="113" t="n">
        <x:v>0</x:v>
      </x:c>
      <x:c r="O19" s="113" t="n">
        <x:f>SUM(C19:L19)+N19</x:f>
        <x:v>190</x:v>
      </x:c>
    </x:row>
    <x:row r="20">
      <x:c r="A20" s="112" t="str">
        <x:f>TurKatilim!A20</x:f>
        <x:v>ARYAKİREMİTCİ</x:v>
      </x:c>
      <x:c r="B20" s="112" t="b">
        <x:f>TurKatilim!N20</x:f>
        <x:v>0</x:v>
      </x:c>
      <x:c r="C20" s="113" t="n">
        <x:f>IF(TurKatilim!B20,40,0)</x:f>
        <x:v>0</x:v>
      </x:c>
      <x:c r="D20" s="113" t="n">
        <x:f>IF(TurKatilim!C20,50,0)</x:f>
        <x:v>0</x:v>
      </x:c>
      <x:c r="E20" s="113" t="n">
        <x:f>IF(TurKatilim!D20,60,0)</x:f>
        <x:v>0</x:v>
      </x:c>
      <x:c r="F20" s="113" t="n">
        <x:f>IF(TurKatilim!E20,65,0)</x:f>
        <x:v>0</x:v>
      </x:c>
      <x:c r="G20" s="113" t="n">
        <x:f>IF(TurKatilim!F20,40,0)</x:f>
        <x:v>0</x:v>
      </x:c>
      <x:c r="H20" s="113" t="n">
        <x:f>IF(TurKatilim!G20,60,0)</x:f>
        <x:v>0</x:v>
      </x:c>
      <x:c r="I20" s="113" t="n">
        <x:f>IF(TurKatilim!H20,70,0)</x:f>
        <x:v>0</x:v>
      </x:c>
      <x:c r="J20" s="113" t="n">
        <x:f>IF(TurKatilim!I20,40,0)</x:f>
        <x:v>0</x:v>
      </x:c>
      <x:c r="K20" s="113" t="n">
        <x:f>IF(TurKatilim!J20,100,0)</x:f>
        <x:v>0</x:v>
      </x:c>
      <x:c r="L20" s="113" t="n">
        <x:f>IF(TurKatilim!L20,65,0)</x:f>
        <x:v>0</x:v>
      </x:c>
      <x:c r="M20" s="113" t="n">
        <x:v>0</x:v>
      </x:c>
      <x:c r="N20" s="113" t="n">
        <x:v>0</x:v>
      </x:c>
      <x:c r="O20" s="113" t="n">
        <x:f>SUM(C20:L20)+N20</x:f>
        <x:v>0</x:v>
      </x:c>
    </x:row>
    <x:row r="21">
      <x:c r="A21" s="112" t="str">
        <x:f>TurKatilim!A21</x:f>
        <x:v>EMİNEDUZ</x:v>
      </x:c>
      <x:c r="B21" s="112" t="b">
        <x:f>TurKatilim!N21</x:f>
        <x:v>0</x:v>
      </x:c>
      <x:c r="C21" s="113" t="n">
        <x:f>IF(TurKatilim!B21,40,0)</x:f>
        <x:v>40</x:v>
      </x:c>
      <x:c r="D21" s="113" t="n">
        <x:f>IF(TurKatilim!C21,50,0)</x:f>
        <x:v>50</x:v>
      </x:c>
      <x:c r="E21" s="113" t="n">
        <x:f>IF(TurKatilim!D21,60,0)</x:f>
        <x:v>0</x:v>
      </x:c>
      <x:c r="F21" s="113" t="n">
        <x:f>IF(TurKatilim!E21,65,0)</x:f>
        <x:v>0</x:v>
      </x:c>
      <x:c r="G21" s="113" t="n">
        <x:f>IF(TurKatilim!F21,40,0)</x:f>
        <x:v>40</x:v>
      </x:c>
      <x:c r="H21" s="113" t="n">
        <x:f>IF(TurKatilim!G21,60,0)</x:f>
        <x:v>60</x:v>
      </x:c>
      <x:c r="I21" s="113" t="n">
        <x:f>IF(TurKatilim!H21,70,0)</x:f>
        <x:v>0</x:v>
      </x:c>
      <x:c r="J21" s="113" t="n">
        <x:f>IF(TurKatilim!I21,40,0)</x:f>
        <x:v>0</x:v>
      </x:c>
      <x:c r="K21" s="113" t="n">
        <x:f>IF(TurKatilim!J21,100,0)</x:f>
        <x:v>100</x:v>
      </x:c>
      <x:c r="L21" s="113" t="n">
        <x:f>IF(TurKatilim!L21,65,0)</x:f>
        <x:v>0</x:v>
      </x:c>
      <x:c r="M21" s="113" t="n">
        <x:v>0</x:v>
      </x:c>
      <x:c r="N21" s="113" t="n">
        <x:v>0</x:v>
      </x:c>
      <x:c r="O21" s="113" t="n">
        <x:f>SUM(C21:L21)+N21</x:f>
        <x:v>290</x:v>
      </x:c>
    </x:row>
    <x:row r="22">
      <x:c r="A22" s="112" t="str">
        <x:f>TurKatilim!A22</x:f>
        <x:v>AYLİZKOCABAŞ</x:v>
      </x:c>
      <x:c r="B22" s="112" t="b">
        <x:f>TurKatilim!N22</x:f>
        <x:v>0</x:v>
      </x:c>
      <x:c r="C22" s="113" t="n">
        <x:f>IF(TurKatilim!B22,40,0)</x:f>
        <x:v>40</x:v>
      </x:c>
      <x:c r="D22" s="113" t="n">
        <x:f>IF(TurKatilim!C22,50,0)</x:f>
        <x:v>50</x:v>
      </x:c>
      <x:c r="E22" s="113" t="n">
        <x:f>IF(TurKatilim!D22,60,0)</x:f>
        <x:v>0</x:v>
      </x:c>
      <x:c r="F22" s="113" t="n">
        <x:f>IF(TurKatilim!E22,65,0)</x:f>
        <x:v>0</x:v>
      </x:c>
      <x:c r="G22" s="113" t="n">
        <x:f>IF(TurKatilim!F22,40,0)</x:f>
        <x:v>40</x:v>
      </x:c>
      <x:c r="H22" s="113" t="n">
        <x:f>IF(TurKatilim!G22,60,0)</x:f>
        <x:v>60</x:v>
      </x:c>
      <x:c r="I22" s="113" t="n">
        <x:f>IF(TurKatilim!H22,70,0)</x:f>
        <x:v>0</x:v>
      </x:c>
      <x:c r="J22" s="113" t="n">
        <x:f>IF(TurKatilim!I22,40,0)</x:f>
        <x:v>0</x:v>
      </x:c>
      <x:c r="K22" s="113" t="n">
        <x:f>IF(TurKatilim!J22,100,0)</x:f>
        <x:v>100</x:v>
      </x:c>
      <x:c r="L22" s="113" t="n">
        <x:f>IF(TurKatilim!L22,65,0)</x:f>
        <x:v>0</x:v>
      </x:c>
      <x:c r="M22" s="113" t="n">
        <x:v>0</x:v>
      </x:c>
      <x:c r="N22" s="113" t="n">
        <x:v>0</x:v>
      </x:c>
      <x:c r="O22" s="113" t="n">
        <x:f>SUM(C22:L22)+N22</x:f>
        <x:v>290</x:v>
      </x:c>
    </x:row>
    <x:row r="23">
      <x:c r="A23" s="112" t="str">
        <x:f>TurKatilim!A23</x:f>
        <x:v>MERVEKOCABAŞ</x:v>
      </x:c>
      <x:c r="B23" s="112" t="b">
        <x:f>TurKatilim!N23</x:f>
        <x:v>0</x:v>
      </x:c>
      <x:c r="C23" s="113" t="n">
        <x:f>IF(TurKatilim!B23,40,0)</x:f>
        <x:v>40</x:v>
      </x:c>
      <x:c r="D23" s="113" t="n">
        <x:f>IF(TurKatilim!C23,50,0)</x:f>
        <x:v>50</x:v>
      </x:c>
      <x:c r="E23" s="113" t="n">
        <x:f>IF(TurKatilim!D23,60,0)</x:f>
        <x:v>0</x:v>
      </x:c>
      <x:c r="F23" s="113" t="n">
        <x:f>IF(TurKatilim!E23,65,0)</x:f>
        <x:v>0</x:v>
      </x:c>
      <x:c r="G23" s="113" t="n">
        <x:f>IF(TurKatilim!F23,40,0)</x:f>
        <x:v>40</x:v>
      </x:c>
      <x:c r="H23" s="113" t="n">
        <x:f>IF(TurKatilim!G23,60,0)</x:f>
        <x:v>60</x:v>
      </x:c>
      <x:c r="I23" s="113" t="n">
        <x:f>IF(TurKatilim!H23,70,0)</x:f>
        <x:v>0</x:v>
      </x:c>
      <x:c r="J23" s="113" t="n">
        <x:f>IF(TurKatilim!I23,40,0)</x:f>
        <x:v>0</x:v>
      </x:c>
      <x:c r="K23" s="113" t="n">
        <x:f>IF(TurKatilim!J23,100,0)</x:f>
        <x:v>100</x:v>
      </x:c>
      <x:c r="L23" s="113" t="n">
        <x:f>IF(TurKatilim!L23,65,0)</x:f>
        <x:v>0</x:v>
      </x:c>
      <x:c r="M23" s="113" t="n">
        <x:v>0</x:v>
      </x:c>
      <x:c r="N23" s="113" t="n">
        <x:v>0</x:v>
      </x:c>
      <x:c r="O23" s="113" t="n">
        <x:f>SUM(C23:L23)+N23</x:f>
        <x:v>290</x:v>
      </x:c>
    </x:row>
    <x:row r="24">
      <x:c r="A24" s="112" t="str">
        <x:f>TurKatilim!A24</x:f>
        <x:v>BerkanKaya</x:v>
      </x:c>
      <x:c r="B24" s="112" t="b">
        <x:f>TurKatilim!N24</x:f>
        <x:v>0</x:v>
      </x:c>
      <x:c r="C24" s="113" t="n">
        <x:f>IF(TurKatilim!B24,40,0)</x:f>
        <x:v>40</x:v>
      </x:c>
      <x:c r="D24" s="113" t="n">
        <x:f>IF(TurKatilim!C24,50,0)</x:f>
        <x:v>50</x:v>
      </x:c>
      <x:c r="E24" s="113" t="n">
        <x:f>IF(TurKatilim!D24,60,0)</x:f>
        <x:v>60</x:v>
      </x:c>
      <x:c r="F24" s="113" t="n">
        <x:f>IF(TurKatilim!E24,65,0)</x:f>
        <x:v>65</x:v>
      </x:c>
      <x:c r="G24" s="113" t="n">
        <x:f>IF(TurKatilim!F24,40,0)</x:f>
        <x:v>40</x:v>
      </x:c>
      <x:c r="H24" s="113" t="n">
        <x:f>IF(TurKatilim!G24,60,0)</x:f>
        <x:v>60</x:v>
      </x:c>
      <x:c r="I24" s="113" t="n">
        <x:f>IF(TurKatilim!H24,70,0)</x:f>
        <x:v>0</x:v>
      </x:c>
      <x:c r="J24" s="113" t="n">
        <x:f>IF(TurKatilim!I24,40,0)</x:f>
        <x:v>40</x:v>
      </x:c>
      <x:c r="K24" s="113" t="n">
        <x:f>IF(TurKatilim!J24,100,0)</x:f>
        <x:v>0</x:v>
      </x:c>
      <x:c r="L24" s="113" t="n">
        <x:f>IF(TurKatilim!L24,65,0)</x:f>
        <x:v>0</x:v>
      </x:c>
      <x:c r="M24" s="113" t="n">
        <x:v>0</x:v>
      </x:c>
      <x:c r="N24" s="113" t="n">
        <x:v>0</x:v>
      </x:c>
      <x:c r="O24" s="113" t="n">
        <x:f>SUM(C24:L24)+N24</x:f>
        <x:v>355</x:v>
      </x:c>
    </x:row>
    <x:row r="25">
      <x:c r="A25" s="112" t="str">
        <x:f>TurKatilim!A25</x:f>
        <x:v>SENEMKAYA</x:v>
      </x:c>
      <x:c r="B25" s="112" t="b">
        <x:f>TurKatilim!N25</x:f>
        <x:v>0</x:v>
      </x:c>
      <x:c r="C25" s="113" t="n">
        <x:f>IF(TurKatilim!B25,40,0)</x:f>
        <x:v>40</x:v>
      </x:c>
      <x:c r="D25" s="113" t="n">
        <x:f>IF(TurKatilim!C25,50,0)</x:f>
        <x:v>50</x:v>
      </x:c>
      <x:c r="E25" s="113" t="n">
        <x:f>IF(TurKatilim!D25,60,0)</x:f>
        <x:v>60</x:v>
      </x:c>
      <x:c r="F25" s="113" t="n">
        <x:f>IF(TurKatilim!E25,65,0)</x:f>
        <x:v>65</x:v>
      </x:c>
      <x:c r="G25" s="113" t="n">
        <x:f>IF(TurKatilim!F25,40,0)</x:f>
        <x:v>40</x:v>
      </x:c>
      <x:c r="H25" s="113" t="n">
        <x:f>IF(TurKatilim!G25,60,0)</x:f>
        <x:v>60</x:v>
      </x:c>
      <x:c r="I25" s="113" t="n">
        <x:f>IF(TurKatilim!H25,70,0)</x:f>
        <x:v>0</x:v>
      </x:c>
      <x:c r="J25" s="113" t="n">
        <x:f>IF(TurKatilim!I25,40,0)</x:f>
        <x:v>40</x:v>
      </x:c>
      <x:c r="K25" s="113" t="n">
        <x:f>IF(TurKatilim!J25,100,0)</x:f>
        <x:v>0</x:v>
      </x:c>
      <x:c r="L25" s="113" t="n">
        <x:f>IF(TurKatilim!L25,65,0)</x:f>
        <x:v>0</x:v>
      </x:c>
      <x:c r="M25" s="113" t="n">
        <x:v>0</x:v>
      </x:c>
      <x:c r="N25" s="113" t="n">
        <x:v>0</x:v>
      </x:c>
      <x:c r="O25" s="113" t="n">
        <x:f>SUM(C25:L25)+N25</x:f>
        <x:v>355</x:v>
      </x:c>
    </x:row>
    <x:row r="26">
      <x:c r="A26" s="112" t="str">
        <x:f>TurKatilim!A26</x:f>
        <x:v>MECİTUYGUN</x:v>
      </x:c>
      <x:c r="B26" s="112" t="b">
        <x:f>TurKatilim!N26</x:f>
        <x:v>0</x:v>
      </x:c>
      <x:c r="C26" s="113" t="n">
        <x:f>IF(TurKatilim!B26,40,0)</x:f>
        <x:v>40</x:v>
      </x:c>
      <x:c r="D26" s="113" t="n">
        <x:f>IF(TurKatilim!C26,50,0)</x:f>
        <x:v>50</x:v>
      </x:c>
      <x:c r="E26" s="113" t="n">
        <x:f>IF(TurKatilim!D26,60,0)</x:f>
        <x:v>0</x:v>
      </x:c>
      <x:c r="F26" s="113" t="n">
        <x:f>IF(TurKatilim!E26,65,0)</x:f>
        <x:v>0</x:v>
      </x:c>
      <x:c r="G26" s="113" t="n">
        <x:f>IF(TurKatilim!F26,40,0)</x:f>
        <x:v>0</x:v>
      </x:c>
      <x:c r="H26" s="113" t="n">
        <x:f>IF(TurKatilim!G26,60,0)</x:f>
        <x:v>60</x:v>
      </x:c>
      <x:c r="I26" s="113" t="n">
        <x:f>IF(TurKatilim!H26,70,0)</x:f>
        <x:v>0</x:v>
      </x:c>
      <x:c r="J26" s="113" t="n">
        <x:f>IF(TurKatilim!I26,40,0)</x:f>
        <x:v>0</x:v>
      </x:c>
      <x:c r="K26" s="113" t="n">
        <x:f>IF(TurKatilim!J26,100,0)</x:f>
        <x:v>100</x:v>
      </x:c>
      <x:c r="L26" s="113" t="n">
        <x:f>IF(TurKatilim!L26,65,0)</x:f>
        <x:v>0</x:v>
      </x:c>
      <x:c r="M26" s="113" t="n">
        <x:v>0</x:v>
      </x:c>
      <x:c r="N26" s="113" t="n">
        <x:v>0</x:v>
      </x:c>
      <x:c r="O26" s="113" t="n">
        <x:f>SUM(C26:L26)+N26</x:f>
        <x:v>250</x:v>
      </x:c>
    </x:row>
    <x:row r="27">
      <x:c r="A27" s="112" t="str">
        <x:f>TurKatilim!A27</x:f>
        <x:v>ASİYEUYGUN</x:v>
      </x:c>
      <x:c r="B27" s="112" t="b">
        <x:f>TurKatilim!N27</x:f>
        <x:v>0</x:v>
      </x:c>
      <x:c r="C27" s="113" t="n">
        <x:f>IF(TurKatilim!B27,40,0)</x:f>
        <x:v>40</x:v>
      </x:c>
      <x:c r="D27" s="113" t="n">
        <x:f>IF(TurKatilim!C27,50,0)</x:f>
        <x:v>50</x:v>
      </x:c>
      <x:c r="E27" s="113" t="n">
        <x:f>IF(TurKatilim!D27,60,0)</x:f>
        <x:v>0</x:v>
      </x:c>
      <x:c r="F27" s="113" t="n">
        <x:f>IF(TurKatilim!E27,65,0)</x:f>
        <x:v>0</x:v>
      </x:c>
      <x:c r="G27" s="113" t="n">
        <x:f>IF(TurKatilim!F27,40,0)</x:f>
        <x:v>0</x:v>
      </x:c>
      <x:c r="H27" s="113" t="n">
        <x:f>IF(TurKatilim!G27,60,0)</x:f>
        <x:v>60</x:v>
      </x:c>
      <x:c r="I27" s="113" t="n">
        <x:f>IF(TurKatilim!H27,70,0)</x:f>
        <x:v>0</x:v>
      </x:c>
      <x:c r="J27" s="113" t="n">
        <x:f>IF(TurKatilim!I27,40,0)</x:f>
        <x:v>0</x:v>
      </x:c>
      <x:c r="K27" s="113" t="n">
        <x:f>IF(TurKatilim!J27,100,0)</x:f>
        <x:v>100</x:v>
      </x:c>
      <x:c r="L27" s="113" t="n">
        <x:f>IF(TurKatilim!L27,65,0)</x:f>
        <x:v>0</x:v>
      </x:c>
      <x:c r="M27" s="113" t="n">
        <x:v>0</x:v>
      </x:c>
      <x:c r="N27" s="113" t="n">
        <x:v>0</x:v>
      </x:c>
      <x:c r="O27" s="113" t="n">
        <x:f>SUM(C27:L27)+N27</x:f>
        <x:v>250</x:v>
      </x:c>
    </x:row>
    <x:row r="28">
      <x:c r="A28" s="112" t="str">
        <x:f>TurKatilim!A28</x:f>
        <x:v>DEMİRUYGUN</x:v>
      </x:c>
      <x:c r="B28" s="112" t="b">
        <x:f>TurKatilim!N28</x:f>
        <x:v>0</x:v>
      </x:c>
      <x:c r="C28" s="113" t="n">
        <x:f>IF(TurKatilim!B28,40,0)</x:f>
        <x:v>0</x:v>
      </x:c>
      <x:c r="D28" s="113" t="n">
        <x:f>IF(TurKatilim!C28,50,0)</x:f>
        <x:v>50</x:v>
      </x:c>
      <x:c r="E28" s="113" t="n">
        <x:f>IF(TurKatilim!D28,60,0)</x:f>
        <x:v>0</x:v>
      </x:c>
      <x:c r="F28" s="113" t="n">
        <x:f>IF(TurKatilim!E28,65,0)</x:f>
        <x:v>0</x:v>
      </x:c>
      <x:c r="G28" s="113" t="n">
        <x:f>IF(TurKatilim!F28,40,0)</x:f>
        <x:v>0</x:v>
      </x:c>
      <x:c r="H28" s="113" t="n">
        <x:f>IF(TurKatilim!G28,60,0)</x:f>
        <x:v>0</x:v>
      </x:c>
      <x:c r="I28" s="113" t="n">
        <x:f>IF(TurKatilim!H28,70,0)</x:f>
        <x:v>0</x:v>
      </x:c>
      <x:c r="J28" s="113" t="n">
        <x:f>IF(TurKatilim!I28,40,0)</x:f>
        <x:v>0</x:v>
      </x:c>
      <x:c r="K28" s="113" t="n">
        <x:f>IF(TurKatilim!J28,100,0)</x:f>
        <x:v>100</x:v>
      </x:c>
      <x:c r="L28" s="113" t="n">
        <x:f>IF(TurKatilim!L28,65,0)</x:f>
        <x:v>0</x:v>
      </x:c>
      <x:c r="M28" s="113" t="n">
        <x:v>0</x:v>
      </x:c>
      <x:c r="N28" s="113" t="n">
        <x:v>-10</x:v>
      </x:c>
      <x:c r="O28" s="113" t="n">
        <x:f>SUM(C28:L28)+N28</x:f>
        <x:v>140</x:v>
      </x:c>
    </x:row>
    <x:row r="29">
      <x:c r="A29" s="112" t="str">
        <x:f>TurKatilim!A29</x:f>
        <x:v>BARIŞUYGUN</x:v>
      </x:c>
      <x:c r="B29" s="112" t="b">
        <x:f>TurKatilim!N29</x:f>
        <x:v>0</x:v>
      </x:c>
      <x:c r="C29" s="113" t="n">
        <x:f>IF(TurKatilim!B29,40,0)</x:f>
        <x:v>0</x:v>
      </x:c>
      <x:c r="D29" s="113" t="n">
        <x:f>IF(TurKatilim!C29,50,0)</x:f>
        <x:v>50</x:v>
      </x:c>
      <x:c r="E29" s="113" t="n">
        <x:f>IF(TurKatilim!D29,60,0)</x:f>
        <x:v>0</x:v>
      </x:c>
      <x:c r="F29" s="113" t="n">
        <x:f>IF(TurKatilim!E29,65,0)</x:f>
        <x:v>0</x:v>
      </x:c>
      <x:c r="G29" s="113" t="n">
        <x:f>IF(TurKatilim!F29,40,0)</x:f>
        <x:v>0</x:v>
      </x:c>
      <x:c r="H29" s="113" t="n">
        <x:f>IF(TurKatilim!G29,60,0)</x:f>
        <x:v>0</x:v>
      </x:c>
      <x:c r="I29" s="113" t="n">
        <x:f>IF(TurKatilim!H29,70,0)</x:f>
        <x:v>0</x:v>
      </x:c>
      <x:c r="J29" s="113" t="n">
        <x:f>IF(TurKatilim!I29,40,0)</x:f>
        <x:v>0</x:v>
      </x:c>
      <x:c r="K29" s="113" t="n">
        <x:f>IF(TurKatilim!J29,100,0)</x:f>
        <x:v>0</x:v>
      </x:c>
      <x:c r="L29" s="113" t="n">
        <x:f>IF(TurKatilim!L29,65,0)</x:f>
        <x:v>0</x:v>
      </x:c>
      <x:c r="M29" s="113" t="n">
        <x:v>0</x:v>
      </x:c>
      <x:c r="N29" s="113" t="n">
        <x:v>-10</x:v>
      </x:c>
      <x:c r="O29" s="113" t="n">
        <x:f>SUM(C29:L29)+N29</x:f>
        <x:v>40</x:v>
      </x:c>
    </x:row>
    <x:row r="30">
      <x:c r="A30" s="112" t="str">
        <x:f>TurKatilim!A30</x:f>
        <x:v>EMELİNAN</x:v>
      </x:c>
      <x:c r="B30" s="112" t="b">
        <x:f>TurKatilim!N30</x:f>
        <x:v>0</x:v>
      </x:c>
      <x:c r="C30" s="113" t="n">
        <x:f>IF(TurKatilim!B30,40,0)</x:f>
        <x:v>40</x:v>
      </x:c>
      <x:c r="D30" s="113" t="n">
        <x:f>IF(TurKatilim!C30,50,0)</x:f>
        <x:v>50</x:v>
      </x:c>
      <x:c r="E30" s="113" t="n">
        <x:f>IF(TurKatilim!D30,60,0)</x:f>
        <x:v>0</x:v>
      </x:c>
      <x:c r="F30" s="113" t="n">
        <x:f>IF(TurKatilim!E30,65,0)</x:f>
        <x:v>0</x:v>
      </x:c>
      <x:c r="G30" s="113" t="n">
        <x:f>IF(TurKatilim!F30,40,0)</x:f>
        <x:v>40</x:v>
      </x:c>
      <x:c r="H30" s="113" t="n">
        <x:f>IF(TurKatilim!G30,60,0)</x:f>
        <x:v>0</x:v>
      </x:c>
      <x:c r="I30" s="113" t="n">
        <x:f>IF(TurKatilim!H30,70,0)</x:f>
        <x:v>0</x:v>
      </x:c>
      <x:c r="J30" s="113" t="n">
        <x:f>IF(TurKatilim!I30,40,0)</x:f>
        <x:v>0</x:v>
      </x:c>
      <x:c r="K30" s="113" t="n">
        <x:f>IF(TurKatilim!J30,100,0)</x:f>
        <x:v>100</x:v>
      </x:c>
      <x:c r="L30" s="113" t="n">
        <x:f>IF(TurKatilim!L30,65,0)</x:f>
        <x:v>0</x:v>
      </x:c>
      <x:c r="M30" s="113" t="n">
        <x:v>0</x:v>
      </x:c>
      <x:c r="N30" s="113" t="n">
        <x:v>0</x:v>
      </x:c>
      <x:c r="O30" s="113" t="n">
        <x:f>SUM(C30:L30)+N30</x:f>
        <x:v>230</x:v>
      </x:c>
    </x:row>
    <x:row r="31">
      <x:c r="A31" s="112" t="str">
        <x:f>TurKatilim!A31</x:f>
        <x:v>ZAFERİNAN</x:v>
      </x:c>
      <x:c r="B31" s="112" t="b">
        <x:f>TurKatilim!N31</x:f>
        <x:v>0</x:v>
      </x:c>
      <x:c r="C31" s="113" t="n">
        <x:f>IF(TurKatilim!B31,40,0)</x:f>
        <x:v>40</x:v>
      </x:c>
      <x:c r="D31" s="113" t="n">
        <x:f>IF(TurKatilim!C31,50,0)</x:f>
        <x:v>50</x:v>
      </x:c>
      <x:c r="E31" s="113" t="n">
        <x:f>IF(TurKatilim!D31,60,0)</x:f>
        <x:v>0</x:v>
      </x:c>
      <x:c r="F31" s="113" t="n">
        <x:f>IF(TurKatilim!E31,65,0)</x:f>
        <x:v>0</x:v>
      </x:c>
      <x:c r="G31" s="113" t="n">
        <x:f>IF(TurKatilim!F31,40,0)</x:f>
        <x:v>40</x:v>
      </x:c>
      <x:c r="H31" s="113" t="n">
        <x:f>IF(TurKatilim!G31,60,0)</x:f>
        <x:v>0</x:v>
      </x:c>
      <x:c r="I31" s="113" t="n">
        <x:f>IF(TurKatilim!H31,70,0)</x:f>
        <x:v>0</x:v>
      </x:c>
      <x:c r="J31" s="113" t="n">
        <x:f>IF(TurKatilim!I31,40,0)</x:f>
        <x:v>0</x:v>
      </x:c>
      <x:c r="K31" s="113" t="n">
        <x:f>IF(TurKatilim!J31,100,0)</x:f>
        <x:v>100</x:v>
      </x:c>
      <x:c r="L31" s="113" t="n">
        <x:f>IF(TurKatilim!L31,65,0)</x:f>
        <x:v>0</x:v>
      </x:c>
      <x:c r="M31" s="113" t="n">
        <x:v>0</x:v>
      </x:c>
      <x:c r="N31" s="113" t="n">
        <x:v>0</x:v>
      </x:c>
      <x:c r="O31" s="113" t="n">
        <x:f>SUM(C31:L31)+N31</x:f>
        <x:v>230</x:v>
      </x:c>
    </x:row>
    <x:row r="32">
      <x:c r="A32" s="112" t="str">
        <x:f>TurKatilim!A32</x:f>
        <x:v>ASİLİNAN</x:v>
      </x:c>
      <x:c r="B32" s="112" t="b">
        <x:f>TurKatilim!N32</x:f>
        <x:v>0</x:v>
      </x:c>
      <x:c r="C32" s="113" t="n">
        <x:f>IF(TurKatilim!B32,40,0)</x:f>
        <x:v>0</x:v>
      </x:c>
      <x:c r="D32" s="113" t="n">
        <x:f>IF(TurKatilim!C32,50,0)</x:f>
        <x:v>50</x:v>
      </x:c>
      <x:c r="E32" s="113" t="n">
        <x:f>IF(TurKatilim!D32,60,0)</x:f>
        <x:v>0</x:v>
      </x:c>
      <x:c r="F32" s="113" t="n">
        <x:f>IF(TurKatilim!E32,65,0)</x:f>
        <x:v>0</x:v>
      </x:c>
      <x:c r="G32" s="113" t="n">
        <x:f>IF(TurKatilim!F32,40,0)</x:f>
        <x:v>0</x:v>
      </x:c>
      <x:c r="H32" s="113" t="n">
        <x:f>IF(TurKatilim!G32,60,0)</x:f>
        <x:v>0</x:v>
      </x:c>
      <x:c r="I32" s="113" t="n">
        <x:f>IF(TurKatilim!H32,70,0)</x:f>
        <x:v>0</x:v>
      </x:c>
      <x:c r="J32" s="113" t="n">
        <x:f>IF(TurKatilim!I32,40,0)</x:f>
        <x:v>0</x:v>
      </x:c>
      <x:c r="K32" s="113" t="n">
        <x:f>IF(TurKatilim!J32,100,0)</x:f>
        <x:v>0</x:v>
      </x:c>
      <x:c r="L32" s="113" t="n">
        <x:f>IF(TurKatilim!L32,65,0)</x:f>
        <x:v>0</x:v>
      </x:c>
      <x:c r="M32" s="113" t="n">
        <x:v>0</x:v>
      </x:c>
      <x:c r="N32" s="113" t="n">
        <x:v>0</x:v>
      </x:c>
      <x:c r="O32" s="113" t="n">
        <x:f>SUM(C32:L32)+N32</x:f>
        <x:v>50</x:v>
      </x:c>
    </x:row>
    <x:row r="33">
      <x:c r="A33" s="112" t="str">
        <x:f>TurKatilim!A33</x:f>
        <x:v>DEMİRİNAN</x:v>
      </x:c>
      <x:c r="B33" s="112" t="b">
        <x:f>TurKatilim!N33</x:f>
        <x:v>0</x:v>
      </x:c>
      <x:c r="C33" s="113" t="n">
        <x:f>IF(TurKatilim!B33,40,0)</x:f>
        <x:v>0</x:v>
      </x:c>
      <x:c r="D33" s="113" t="n">
        <x:f>IF(TurKatilim!C33,50,0)</x:f>
        <x:v>50</x:v>
      </x:c>
      <x:c r="E33" s="113" t="n">
        <x:f>IF(TurKatilim!D33,60,0)</x:f>
        <x:v>0</x:v>
      </x:c>
      <x:c r="F33" s="113" t="n">
        <x:f>IF(TurKatilim!E33,65,0)</x:f>
        <x:v>0</x:v>
      </x:c>
      <x:c r="G33" s="113" t="n">
        <x:f>IF(TurKatilim!F33,40,0)</x:f>
        <x:v>0</x:v>
      </x:c>
      <x:c r="H33" s="113" t="n">
        <x:f>IF(TurKatilim!G33,60,0)</x:f>
        <x:v>0</x:v>
      </x:c>
      <x:c r="I33" s="113" t="n">
        <x:f>IF(TurKatilim!H33,70,0)</x:f>
        <x:v>0</x:v>
      </x:c>
      <x:c r="J33" s="113" t="n">
        <x:f>IF(TurKatilim!I33,40,0)</x:f>
        <x:v>0</x:v>
      </x:c>
      <x:c r="K33" s="113" t="n">
        <x:f>IF(TurKatilim!J33,100,0)</x:f>
        <x:v>0</x:v>
      </x:c>
      <x:c r="L33" s="113" t="n">
        <x:f>IF(TurKatilim!L33,65,0)</x:f>
        <x:v>0</x:v>
      </x:c>
      <x:c r="M33" s="113" t="n">
        <x:v>0</x:v>
      </x:c>
      <x:c r="N33" s="113" t="n">
        <x:v>-10</x:v>
      </x:c>
      <x:c r="O33" s="113" t="n">
        <x:f>SUM(C33:L33)+N33</x:f>
        <x:v>40</x:v>
      </x:c>
    </x:row>
    <x:row r="34">
      <x:c r="A34" s="112" t="str">
        <x:f>TurKatilim!A34</x:f>
        <x:v>M. HUSEYINKIMYONOGLU</x:v>
      </x:c>
      <x:c r="B34" s="112" t="b">
        <x:f>TurKatilim!N34</x:f>
        <x:v>0</x:v>
      </x:c>
      <x:c r="C34" s="113" t="n">
        <x:f>IF(TurKatilim!B34,40,0)</x:f>
        <x:v>40</x:v>
      </x:c>
      <x:c r="D34" s="113" t="n">
        <x:f>IF(TurKatilim!C34,50,0)</x:f>
        <x:v>50</x:v>
      </x:c>
      <x:c r="E34" s="113" t="n">
        <x:f>IF(TurKatilim!D34,60,0)</x:f>
        <x:v>0</x:v>
      </x:c>
      <x:c r="F34" s="113" t="n">
        <x:f>IF(TurKatilim!E34,65,0)</x:f>
        <x:v>65</x:v>
      </x:c>
      <x:c r="G34" s="113" t="n">
        <x:f>IF(TurKatilim!F34,40,0)</x:f>
        <x:v>40</x:v>
      </x:c>
      <x:c r="H34" s="113" t="n">
        <x:f>IF(TurKatilim!G34,60,0)</x:f>
        <x:v>60</x:v>
      </x:c>
      <x:c r="I34" s="113" t="n">
        <x:f>IF(TurKatilim!H34,70,0)</x:f>
        <x:v>0</x:v>
      </x:c>
      <x:c r="J34" s="113" t="n">
        <x:f>IF(TurKatilim!I34,40,0)</x:f>
        <x:v>40</x:v>
      </x:c>
      <x:c r="K34" s="113" t="n">
        <x:f>IF(TurKatilim!J34,100,0)</x:f>
        <x:v>100</x:v>
      </x:c>
      <x:c r="L34" s="113" t="n">
        <x:f>IF(TurKatilim!L34,65,0)</x:f>
        <x:v>0</x:v>
      </x:c>
      <x:c r="M34" s="113" t="n">
        <x:v>0</x:v>
      </x:c>
      <x:c r="N34" s="113" t="n">
        <x:v>0</x:v>
      </x:c>
      <x:c r="O34" s="113" t="n">
        <x:f>SUM(C34:L34)+N34</x:f>
        <x:v>395</x:v>
      </x:c>
    </x:row>
    <x:row r="35">
      <x:c r="A35" s="112" t="str">
        <x:f>TurKatilim!A35</x:f>
        <x:v>INANCKIMYONOGLU</x:v>
      </x:c>
      <x:c r="B35" s="112" t="b">
        <x:f>TurKatilim!N35</x:f>
        <x:v>0</x:v>
      </x:c>
      <x:c r="C35" s="113" t="n">
        <x:f>IF(TurKatilim!B35,40,0)</x:f>
        <x:v>40</x:v>
      </x:c>
      <x:c r="D35" s="113" t="n">
        <x:f>IF(TurKatilim!C35,50,0)</x:f>
        <x:v>50</x:v>
      </x:c>
      <x:c r="E35" s="113" t="n">
        <x:f>IF(TurKatilim!D35,60,0)</x:f>
        <x:v>0</x:v>
      </x:c>
      <x:c r="F35" s="113" t="n">
        <x:f>IF(TurKatilim!E35,65,0)</x:f>
        <x:v>65</x:v>
      </x:c>
      <x:c r="G35" s="113" t="n">
        <x:f>IF(TurKatilim!F35,40,0)</x:f>
        <x:v>40</x:v>
      </x:c>
      <x:c r="H35" s="113" t="n">
        <x:f>IF(TurKatilim!G35,60,0)</x:f>
        <x:v>60</x:v>
      </x:c>
      <x:c r="I35" s="113" t="n">
        <x:f>IF(TurKatilim!H35,70,0)</x:f>
        <x:v>0</x:v>
      </x:c>
      <x:c r="J35" s="113" t="n">
        <x:f>IF(TurKatilim!I35,40,0)</x:f>
        <x:v>40</x:v>
      </x:c>
      <x:c r="K35" s="113" t="n">
        <x:f>IF(TurKatilim!J35,100,0)</x:f>
        <x:v>100</x:v>
      </x:c>
      <x:c r="L35" s="113" t="n">
        <x:f>IF(TurKatilim!L35,65,0)</x:f>
        <x:v>0</x:v>
      </x:c>
      <x:c r="M35" s="113" t="n">
        <x:v>0</x:v>
      </x:c>
      <x:c r="N35" s="113" t="n">
        <x:v>0</x:v>
      </x:c>
      <x:c r="O35" s="113" t="n">
        <x:f>SUM(C35:L35)+N35</x:f>
        <x:v>395</x:v>
      </x:c>
    </x:row>
    <x:row r="36">
      <x:c r="A36" s="112" t="str">
        <x:f>TurKatilim!A36</x:f>
        <x:v>MEHMET LUTFIKIMYONOGLU</x:v>
      </x:c>
      <x:c r="B36" s="112" t="b">
        <x:f>TurKatilim!N36</x:f>
        <x:v>0</x:v>
      </x:c>
      <x:c r="C36" s="113" t="n">
        <x:f>IF(TurKatilim!B36,40,0)</x:f>
        <x:v>40</x:v>
      </x:c>
      <x:c r="D36" s="113" t="n">
        <x:f>IF(TurKatilim!C36,50,0)</x:f>
        <x:v>50</x:v>
      </x:c>
      <x:c r="E36" s="113" t="n">
        <x:f>IF(TurKatilim!D36,60,0)</x:f>
        <x:v>0</x:v>
      </x:c>
      <x:c r="F36" s="113" t="n">
        <x:f>IF(TurKatilim!E36,65,0)</x:f>
        <x:v>65</x:v>
      </x:c>
      <x:c r="G36" s="113" t="n">
        <x:f>IF(TurKatilim!F36,40,0)</x:f>
        <x:v>40</x:v>
      </x:c>
      <x:c r="H36" s="113" t="n">
        <x:f>IF(TurKatilim!G36,60,0)</x:f>
        <x:v>60</x:v>
      </x:c>
      <x:c r="I36" s="113" t="n">
        <x:f>IF(TurKatilim!H36,70,0)</x:f>
        <x:v>0</x:v>
      </x:c>
      <x:c r="J36" s="113" t="n">
        <x:f>IF(TurKatilim!I36,40,0)</x:f>
        <x:v>40</x:v>
      </x:c>
      <x:c r="K36" s="113" t="n">
        <x:f>IF(TurKatilim!J36,100,0)</x:f>
        <x:v>100</x:v>
      </x:c>
      <x:c r="L36" s="113" t="n">
        <x:f>IF(TurKatilim!L36,65,0)</x:f>
        <x:v>0</x:v>
      </x:c>
      <x:c r="M36" s="113" t="n">
        <x:v>0</x:v>
      </x:c>
      <x:c r="N36" s="113" t="n">
        <x:v>0</x:v>
      </x:c>
      <x:c r="O36" s="113" t="n">
        <x:f>SUM(C36:L36)+N36</x:f>
        <x:v>395</x:v>
      </x:c>
    </x:row>
    <x:row r="37">
      <x:c r="A37" s="112" t="str">
        <x:f>TurKatilim!A37</x:f>
        <x:v>AZRAKIMYONOGLU</x:v>
      </x:c>
      <x:c r="B37" s="112" t="b">
        <x:f>TurKatilim!N37</x:f>
        <x:v>0</x:v>
      </x:c>
      <x:c r="C37" s="113" t="n">
        <x:f>IF(TurKatilim!B37,40,0)</x:f>
        <x:v>0</x:v>
      </x:c>
      <x:c r="D37" s="113" t="n">
        <x:f>IF(TurKatilim!C37,50,0)</x:f>
        <x:v>50</x:v>
      </x:c>
      <x:c r="E37" s="113" t="n">
        <x:f>IF(TurKatilim!D37,60,0)</x:f>
        <x:v>0</x:v>
      </x:c>
      <x:c r="F37" s="113" t="n">
        <x:f>IF(TurKatilim!E37,65,0)</x:f>
        <x:v>65</x:v>
      </x:c>
      <x:c r="G37" s="113" t="n">
        <x:f>IF(TurKatilim!F37,40,0)</x:f>
        <x:v>40</x:v>
      </x:c>
      <x:c r="H37" s="113" t="n">
        <x:f>IF(TurKatilim!G37,60,0)</x:f>
        <x:v>0</x:v>
      </x:c>
      <x:c r="I37" s="113" t="n">
        <x:f>IF(TurKatilim!H37,70,0)</x:f>
        <x:v>0</x:v>
      </x:c>
      <x:c r="J37" s="113" t="n">
        <x:f>IF(TurKatilim!I37,40,0)</x:f>
        <x:v>0</x:v>
      </x:c>
      <x:c r="K37" s="113" t="n">
        <x:f>IF(TurKatilim!J37,100,0)</x:f>
        <x:v>100</x:v>
      </x:c>
      <x:c r="L37" s="113" t="n">
        <x:f>IF(TurKatilim!L37,65,0)</x:f>
        <x:v>0</x:v>
      </x:c>
      <x:c r="M37" s="113" t="n">
        <x:v>0</x:v>
      </x:c>
      <x:c r="N37" s="113" t="n">
        <x:v>-20</x:v>
      </x:c>
      <x:c r="O37" s="113" t="n">
        <x:f>SUM(C37:L37)+N37</x:f>
        <x:v>235</x:v>
      </x:c>
    </x:row>
    <x:row r="38">
      <x:c r="A38" s="112" t="str">
        <x:f>TurKatilim!A38</x:f>
        <x:v>SEMRAKEZBAN ARSLAN </x:v>
      </x:c>
      <x:c r="B38" s="112" t="b">
        <x:f>TurKatilim!N38</x:f>
        <x:v>0</x:v>
      </x:c>
      <x:c r="C38" s="113" t="n">
        <x:f>IF(TurKatilim!B38,40,0)</x:f>
        <x:v>40</x:v>
      </x:c>
      <x:c r="D38" s="113" t="n">
        <x:f>IF(TurKatilim!C38,50,0)</x:f>
        <x:v>50</x:v>
      </x:c>
      <x:c r="E38" s="113" t="n">
        <x:f>IF(TurKatilim!D38,60,0)</x:f>
        <x:v>60</x:v>
      </x:c>
      <x:c r="F38" s="113" t="n">
        <x:f>IF(TurKatilim!E38,65,0)</x:f>
        <x:v>65</x:v>
      </x:c>
      <x:c r="G38" s="113" t="n">
        <x:f>IF(TurKatilim!F38,40,0)</x:f>
        <x:v>40</x:v>
      </x:c>
      <x:c r="H38" s="113" t="n">
        <x:f>IF(TurKatilim!G38,60,0)</x:f>
        <x:v>60</x:v>
      </x:c>
      <x:c r="I38" s="113" t="n">
        <x:f>IF(TurKatilim!H38,70,0)</x:f>
        <x:v>0</x:v>
      </x:c>
      <x:c r="J38" s="113" t="n">
        <x:f>IF(TurKatilim!I38,40,0)</x:f>
        <x:v>40</x:v>
      </x:c>
      <x:c r="K38" s="113" t="n">
        <x:f>IF(TurKatilim!J38,100,0)</x:f>
        <x:v>100</x:v>
      </x:c>
      <x:c r="L38" s="113" t="n">
        <x:f>IF(TurKatilim!L38,65,0)</x:f>
        <x:v>0</x:v>
      </x:c>
      <x:c r="M38" s="113" t="n">
        <x:v>-25</x:v>
      </x:c>
      <x:c r="N38" s="113" t="n">
        <x:v>0</x:v>
      </x:c>
      <x:c r="O38" s="113" t="n">
        <x:f>SUM(C38:L38)+N38</x:f>
        <x:v>455</x:v>
      </x:c>
    </x:row>
    <x:row r="39">
      <x:c r="A39" s="112" t="str">
        <x:f>TurKatilim!A39</x:f>
        <x:v>ARZUSASMAZ</x:v>
      </x:c>
      <x:c r="B39" s="112" t="b">
        <x:f>TurKatilim!N39</x:f>
        <x:v>0</x:v>
      </x:c>
      <x:c r="C39" s="113" t="n">
        <x:f>IF(TurKatilim!B39,40,0)</x:f>
        <x:v>40</x:v>
      </x:c>
      <x:c r="D39" s="113" t="n">
        <x:f>IF(TurKatilim!C39,50,0)</x:f>
        <x:v>50</x:v>
      </x:c>
      <x:c r="E39" s="113" t="n">
        <x:f>IF(TurKatilim!D39,60,0)</x:f>
        <x:v>0</x:v>
      </x:c>
      <x:c r="F39" s="113" t="n">
        <x:f>IF(TurKatilim!E39,65,0)</x:f>
        <x:v>65</x:v>
      </x:c>
      <x:c r="G39" s="113" t="n">
        <x:f>IF(TurKatilim!F39,40,0)</x:f>
        <x:v>0</x:v>
      </x:c>
      <x:c r="H39" s="113" t="n">
        <x:f>IF(TurKatilim!G39,60,0)</x:f>
        <x:v>60</x:v>
      </x:c>
      <x:c r="I39" s="113" t="n">
        <x:f>IF(TurKatilim!H39,70,0)</x:f>
        <x:v>0</x:v>
      </x:c>
      <x:c r="J39" s="113" t="n">
        <x:f>IF(TurKatilim!I39,40,0)</x:f>
        <x:v>40</x:v>
      </x:c>
      <x:c r="K39" s="113" t="n">
        <x:f>IF(TurKatilim!J39,100,0)</x:f>
        <x:v>100</x:v>
      </x:c>
      <x:c r="L39" s="113" t="n">
        <x:f>IF(TurKatilim!L39,65,0)</x:f>
        <x:v>0</x:v>
      </x:c>
      <x:c r="M39" s="113" t="n">
        <x:v>-25</x:v>
      </x:c>
      <x:c r="N39" s="113" t="n">
        <x:v>0</x:v>
      </x:c>
      <x:c r="O39" s="113" t="n">
        <x:f>SUM(C39:L39)+N39</x:f>
        <x:v>355</x:v>
      </x:c>
    </x:row>
    <x:row r="40">
      <x:c r="A40" s="112" t="str">
        <x:f>TurKatilim!A40</x:f>
        <x:v>MUNTECEPSANLI </x:v>
      </x:c>
      <x:c r="B40" s="112" t="b">
        <x:f>TurKatilim!N40</x:f>
        <x:v>0</x:v>
      </x:c>
      <x:c r="C40" s="113" t="n">
        <x:f>IF(TurKatilim!B40,40,0)</x:f>
        <x:v>40</x:v>
      </x:c>
      <x:c r="D40" s="113" t="n">
        <x:f>IF(TurKatilim!C40,50,0)</x:f>
        <x:v>50</x:v>
      </x:c>
      <x:c r="E40" s="113" t="n">
        <x:f>IF(TurKatilim!D40,60,0)</x:f>
        <x:v>60</x:v>
      </x:c>
      <x:c r="F40" s="113" t="n">
        <x:f>IF(TurKatilim!E40,65,0)</x:f>
        <x:v>65</x:v>
      </x:c>
      <x:c r="G40" s="113" t="n">
        <x:f>IF(TurKatilim!F40,40,0)</x:f>
        <x:v>0</x:v>
      </x:c>
      <x:c r="H40" s="113" t="n">
        <x:f>IF(TurKatilim!G40,60,0)</x:f>
        <x:v>60</x:v>
      </x:c>
      <x:c r="I40" s="113" t="n">
        <x:f>IF(TurKatilim!H40,70,0)</x:f>
        <x:v>0</x:v>
      </x:c>
      <x:c r="J40" s="113" t="n">
        <x:f>IF(TurKatilim!I40,40,0)</x:f>
        <x:v>40</x:v>
      </x:c>
      <x:c r="K40" s="113" t="n">
        <x:f>IF(TurKatilim!J40,100,0)</x:f>
        <x:v>100</x:v>
      </x:c>
      <x:c r="L40" s="113" t="n">
        <x:f>IF(TurKatilim!L40,65,0)</x:f>
        <x:v>0</x:v>
      </x:c>
      <x:c r="M40" s="113" t="n">
        <x:v>-25</x:v>
      </x:c>
      <x:c r="N40" s="113" t="n">
        <x:v>0</x:v>
      </x:c>
      <x:c r="O40" s="113" t="n">
        <x:f>SUM(C40:L40)+N40</x:f>
        <x:v>415</x:v>
      </x:c>
    </x:row>
    <x:row r="41">
      <x:c r="A41" s="112" t="str">
        <x:f>TurKatilim!A41</x:f>
        <x:v>SABAHATŞANLI</x:v>
      </x:c>
      <x:c r="B41" s="112" t="b">
        <x:f>TurKatilim!N41</x:f>
        <x:v>0</x:v>
      </x:c>
      <x:c r="C41" s="113" t="n">
        <x:f>IF(TurKatilim!B41,40,0)</x:f>
        <x:v>40</x:v>
      </x:c>
      <x:c r="D41" s="113" t="n">
        <x:f>IF(TurKatilim!C41,50,0)</x:f>
        <x:v>0</x:v>
      </x:c>
      <x:c r="E41" s="113" t="n">
        <x:f>IF(TurKatilim!D41,60,0)</x:f>
        <x:v>60</x:v>
      </x:c>
      <x:c r="F41" s="113" t="n">
        <x:f>IF(TurKatilim!E41,65,0)</x:f>
        <x:v>65</x:v>
      </x:c>
      <x:c r="G41" s="113" t="n">
        <x:f>IF(TurKatilim!F41,40,0)</x:f>
        <x:v>0</x:v>
      </x:c>
      <x:c r="H41" s="113" t="n">
        <x:f>IF(TurKatilim!G41,60,0)</x:f>
        <x:v>60</x:v>
      </x:c>
      <x:c r="I41" s="113" t="n">
        <x:f>IF(TurKatilim!H41,70,0)</x:f>
        <x:v>0</x:v>
      </x:c>
      <x:c r="J41" s="113" t="n">
        <x:f>IF(TurKatilim!I41,40,0)</x:f>
        <x:v>40</x:v>
      </x:c>
      <x:c r="K41" s="113" t="n">
        <x:f>IF(TurKatilim!J41,100,0)</x:f>
        <x:v>100</x:v>
      </x:c>
      <x:c r="L41" s="113" t="n">
        <x:f>IF(TurKatilim!L41,65,0)</x:f>
        <x:v>0</x:v>
      </x:c>
      <x:c r="M41" s="113" t="n">
        <x:v>-25</x:v>
      </x:c>
      <x:c r="N41" s="113" t="n">
        <x:v>0</x:v>
      </x:c>
      <x:c r="O41" s="113" t="n">
        <x:f>SUM(C41:L41)+N41</x:f>
        <x:v>365</x:v>
      </x:c>
    </x:row>
    <x:row r="42">
      <x:c r="A42" s="112" t="str">
        <x:f>TurKatilim!A42</x:f>
        <x:v>HAYDAR ERCAN  </x:v>
      </x:c>
      <x:c r="B42" s="112" t="b">
        <x:f>TurKatilim!N42</x:f>
        <x:v>0</x:v>
      </x:c>
      <x:c r="C42" s="113" t="n">
        <x:f>IF(TurKatilim!B42,40,0)</x:f>
        <x:v>40</x:v>
      </x:c>
      <x:c r="D42" s="113" t="n">
        <x:f>IF(TurKatilim!C42,50,0)</x:f>
        <x:v>0</x:v>
      </x:c>
      <x:c r="E42" s="113" t="n">
        <x:f>IF(TurKatilim!D42,60,0)</x:f>
        <x:v>60</x:v>
      </x:c>
      <x:c r="F42" s="113" t="n">
        <x:f>IF(TurKatilim!E42,65,0)</x:f>
        <x:v>65</x:v>
      </x:c>
      <x:c r="G42" s="113" t="n">
        <x:f>IF(TurKatilim!F42,40,0)</x:f>
        <x:v>40</x:v>
      </x:c>
      <x:c r="H42" s="113" t="n">
        <x:f>IF(TurKatilim!G42,60,0)</x:f>
        <x:v>60</x:v>
      </x:c>
      <x:c r="I42" s="113" t="n">
        <x:f>IF(TurKatilim!H42,70,0)</x:f>
        <x:v>70</x:v>
      </x:c>
      <x:c r="J42" s="113" t="n">
        <x:f>IF(TurKatilim!I42,40,0)</x:f>
        <x:v>40</x:v>
      </x:c>
      <x:c r="K42" s="113" t="n">
        <x:f>IF(TurKatilim!J42,100,0)</x:f>
        <x:v>100</x:v>
      </x:c>
      <x:c r="L42" s="113" t="n">
        <x:f>IF(TurKatilim!L42,65,0)</x:f>
        <x:v>0</x:v>
      </x:c>
      <x:c r="M42" s="113" t="n">
        <x:v>-25</x:v>
      </x:c>
      <x:c r="N42" s="113" t="n">
        <x:v>0</x:v>
      </x:c>
      <x:c r="O42" s="113" t="n">
        <x:f>SUM(C42:L42)+N42</x:f>
        <x:v>475</x:v>
      </x:c>
    </x:row>
    <x:row r="43">
      <x:c r="A43" s="112" t="str">
        <x:f>TurKatilim!A43</x:f>
        <x:v>SİBEL ERCAN  </x:v>
      </x:c>
      <x:c r="B43" s="112" t="b">
        <x:f>TurKatilim!N43</x:f>
        <x:v>0</x:v>
      </x:c>
      <x:c r="C43" s="113" t="n">
        <x:f>IF(TurKatilim!B43,40,0)</x:f>
        <x:v>40</x:v>
      </x:c>
      <x:c r="D43" s="113" t="n">
        <x:f>IF(TurKatilim!C43,50,0)</x:f>
        <x:v>0</x:v>
      </x:c>
      <x:c r="E43" s="113" t="n">
        <x:f>IF(TurKatilim!D43,60,0)</x:f>
        <x:v>60</x:v>
      </x:c>
      <x:c r="F43" s="113" t="n">
        <x:f>IF(TurKatilim!E43,65,0)</x:f>
        <x:v>65</x:v>
      </x:c>
      <x:c r="G43" s="113" t="n">
        <x:f>IF(TurKatilim!F43,40,0)</x:f>
        <x:v>40</x:v>
      </x:c>
      <x:c r="H43" s="113" t="n">
        <x:f>IF(TurKatilim!G43,60,0)</x:f>
        <x:v>60</x:v>
      </x:c>
      <x:c r="I43" s="113" t="n">
        <x:f>IF(TurKatilim!H43,70,0)</x:f>
        <x:v>70</x:v>
      </x:c>
      <x:c r="J43" s="113" t="n">
        <x:f>IF(TurKatilim!I43,40,0)</x:f>
        <x:v>40</x:v>
      </x:c>
      <x:c r="K43" s="113" t="n">
        <x:f>IF(TurKatilim!J43,100,0)</x:f>
        <x:v>100</x:v>
      </x:c>
      <x:c r="L43" s="113" t="n">
        <x:f>IF(TurKatilim!L43,65,0)</x:f>
        <x:v>0</x:v>
      </x:c>
      <x:c r="M43" s="113" t="n">
        <x:v>-25</x:v>
      </x:c>
      <x:c r="N43" s="113" t="n">
        <x:v>0</x:v>
      </x:c>
      <x:c r="O43" s="113" t="n">
        <x:f>SUM(C43:L43)+N43</x:f>
        <x:v>475</x:v>
      </x:c>
    </x:row>
    <x:row r="44">
      <x:c r="A44" s="112" t="str">
        <x:f>TurKatilim!A44</x:f>
        <x:v>HİLAL SANLI </x:v>
      </x:c>
      <x:c r="B44" s="112" t="b">
        <x:f>TurKatilim!N44</x:f>
        <x:v>0</x:v>
      </x:c>
      <x:c r="C44" s="113" t="n">
        <x:f>IF(TurKatilim!B44,40,0)</x:f>
        <x:v>40</x:v>
      </x:c>
      <x:c r="D44" s="113" t="n">
        <x:f>IF(TurKatilim!C44,50,0)</x:f>
        <x:v>50</x:v>
      </x:c>
      <x:c r="E44" s="113" t="n">
        <x:f>IF(TurKatilim!D44,60,0)</x:f>
        <x:v>60</x:v>
      </x:c>
      <x:c r="F44" s="113" t="n">
        <x:f>IF(TurKatilim!E44,65,0)</x:f>
        <x:v>65</x:v>
      </x:c>
      <x:c r="G44" s="113" t="n">
        <x:f>IF(TurKatilim!F44,40,0)</x:f>
        <x:v>40</x:v>
      </x:c>
      <x:c r="H44" s="113" t="n">
        <x:f>IF(TurKatilim!G44,60,0)</x:f>
        <x:v>60</x:v>
      </x:c>
      <x:c r="I44" s="113" t="n">
        <x:f>IF(TurKatilim!H44,70,0)</x:f>
        <x:v>0</x:v>
      </x:c>
      <x:c r="J44" s="113" t="n">
        <x:f>IF(TurKatilim!I44,40,0)</x:f>
        <x:v>40</x:v>
      </x:c>
      <x:c r="K44" s="113" t="n">
        <x:f>IF(TurKatilim!J44,100,0)</x:f>
        <x:v>100</x:v>
      </x:c>
      <x:c r="L44" s="113" t="n">
        <x:f>IF(TurKatilim!L44,65,0)</x:f>
        <x:v>0</x:v>
      </x:c>
      <x:c r="M44" s="113" t="n">
        <x:v>-25</x:v>
      </x:c>
      <x:c r="N44" s="113" t="n">
        <x:v>0</x:v>
      </x:c>
      <x:c r="O44" s="113" t="n">
        <x:f>SUM(C44:L44)+N44</x:f>
        <x:v>455</x:v>
      </x:c>
    </x:row>
    <x:row r="45">
      <x:c r="A45" s="112" t="str">
        <x:f>TurKatilim!A45</x:f>
        <x:v>LİNAŞANLI </x:v>
      </x:c>
      <x:c r="B45" s="112" t="b">
        <x:f>TurKatilim!N45</x:f>
        <x:v>0</x:v>
      </x:c>
      <x:c r="C45" s="113" t="n">
        <x:f>IF(TurKatilim!B45,40,0)</x:f>
        <x:v>40</x:v>
      </x:c>
      <x:c r="D45" s="113" t="n">
        <x:f>IF(TurKatilim!C45,50,0)</x:f>
        <x:v>50</x:v>
      </x:c>
      <x:c r="E45" s="113" t="n">
        <x:f>IF(TurKatilim!D45,60,0)</x:f>
        <x:v>60</x:v>
      </x:c>
      <x:c r="F45" s="113" t="n">
        <x:f>IF(TurKatilim!E45,65,0)</x:f>
        <x:v>65</x:v>
      </x:c>
      <x:c r="G45" s="113" t="n">
        <x:f>IF(TurKatilim!F45,40,0)</x:f>
        <x:v>40</x:v>
      </x:c>
      <x:c r="H45" s="113" t="n">
        <x:f>IF(TurKatilim!G45,60,0)</x:f>
        <x:v>60</x:v>
      </x:c>
      <x:c r="I45" s="113" t="n">
        <x:f>IF(TurKatilim!H45,70,0)</x:f>
        <x:v>0</x:v>
      </x:c>
      <x:c r="J45" s="113" t="n">
        <x:f>IF(TurKatilim!I45,40,0)</x:f>
        <x:v>40</x:v>
      </x:c>
      <x:c r="K45" s="113" t="n">
        <x:f>IF(TurKatilim!J45,100,0)</x:f>
        <x:v>100</x:v>
      </x:c>
      <x:c r="L45" s="113" t="n">
        <x:f>IF(TurKatilim!L45,65,0)</x:f>
        <x:v>0</x:v>
      </x:c>
      <x:c r="M45" s="113" t="n">
        <x:v>-25</x:v>
      </x:c>
      <x:c r="N45" s="113" t="n">
        <x:v>0</x:v>
      </x:c>
      <x:c r="O45" s="113" t="n">
        <x:f>SUM(C45:L45)+N45</x:f>
        <x:v>455</x:v>
      </x:c>
    </x:row>
    <x:row r="46">
      <x:c r="A46" s="112" t="str">
        <x:f>TurKatilim!A46</x:f>
        <x:v>GÜLÇİN  DURMAZ </x:v>
      </x:c>
      <x:c r="B46" s="112" t="b">
        <x:f>TurKatilim!N46</x:f>
        <x:v>0</x:v>
      </x:c>
      <x:c r="C46" s="113" t="n">
        <x:f>IF(TurKatilim!B46,40,0)</x:f>
        <x:v>40</x:v>
      </x:c>
      <x:c r="D46" s="113" t="n">
        <x:f>IF(TurKatilim!C46,50,0)</x:f>
        <x:v>50</x:v>
      </x:c>
      <x:c r="E46" s="113" t="n">
        <x:f>IF(TurKatilim!D46,60,0)</x:f>
        <x:v>60</x:v>
      </x:c>
      <x:c r="F46" s="113" t="n">
        <x:f>IF(TurKatilim!E46,65,0)</x:f>
        <x:v>65</x:v>
      </x:c>
      <x:c r="G46" s="113" t="n">
        <x:f>IF(TurKatilim!F46,40,0)</x:f>
        <x:v>0</x:v>
      </x:c>
      <x:c r="H46" s="113" t="n">
        <x:f>IF(TurKatilim!G46,60,0)</x:f>
        <x:v>60</x:v>
      </x:c>
      <x:c r="I46" s="113" t="n">
        <x:f>IF(TurKatilim!H46,70,0)</x:f>
        <x:v>0</x:v>
      </x:c>
      <x:c r="J46" s="113" t="n">
        <x:f>IF(TurKatilim!I46,40,0)</x:f>
        <x:v>40</x:v>
      </x:c>
      <x:c r="K46" s="113" t="n">
        <x:f>IF(TurKatilim!J46,100,0)</x:f>
        <x:v>100</x:v>
      </x:c>
      <x:c r="L46" s="113" t="n">
        <x:f>IF(TurKatilim!L46,65,0)</x:f>
        <x:v>0</x:v>
      </x:c>
      <x:c r="M46" s="113" t="n">
        <x:v>-25</x:v>
      </x:c>
      <x:c r="N46" s="113" t="n">
        <x:v>0</x:v>
      </x:c>
      <x:c r="O46" s="113" t="n">
        <x:f>SUM(C46:L46)+N46</x:f>
        <x:v>415</x:v>
      </x:c>
    </x:row>
    <x:row r="47">
      <x:c r="A47" s="112" t="str">
        <x:f>TurKatilim!A47</x:f>
        <x:v>KENAN KAYRA  DAN </x:v>
      </x:c>
      <x:c r="B47" s="112" t="b">
        <x:f>TurKatilim!N47</x:f>
        <x:v>0</x:v>
      </x:c>
      <x:c r="C47" s="113" t="n">
        <x:f>IF(TurKatilim!B47,40,0)</x:f>
        <x:v>40</x:v>
      </x:c>
      <x:c r="D47" s="113" t="n">
        <x:f>IF(TurKatilim!C47,50,0)</x:f>
        <x:v>50</x:v>
      </x:c>
      <x:c r="E47" s="113" t="n">
        <x:f>IF(TurKatilim!D47,60,0)</x:f>
        <x:v>60</x:v>
      </x:c>
      <x:c r="F47" s="113" t="n">
        <x:f>IF(TurKatilim!E47,65,0)</x:f>
        <x:v>65</x:v>
      </x:c>
      <x:c r="G47" s="113" t="n">
        <x:f>IF(TurKatilim!F47,40,0)</x:f>
        <x:v>0</x:v>
      </x:c>
      <x:c r="H47" s="113" t="n">
        <x:f>IF(TurKatilim!G47,60,0)</x:f>
        <x:v>60</x:v>
      </x:c>
      <x:c r="I47" s="113" t="n">
        <x:f>IF(TurKatilim!H47,70,0)</x:f>
        <x:v>0</x:v>
      </x:c>
      <x:c r="J47" s="113" t="n">
        <x:f>IF(TurKatilim!I47,40,0)</x:f>
        <x:v>40</x:v>
      </x:c>
      <x:c r="K47" s="113" t="n">
        <x:f>IF(TurKatilim!J47,100,0)</x:f>
        <x:v>100</x:v>
      </x:c>
      <x:c r="L47" s="113" t="n">
        <x:f>IF(TurKatilim!L47,65,0)</x:f>
        <x:v>0</x:v>
      </x:c>
      <x:c r="M47" s="113" t="n">
        <x:v>-25</x:v>
      </x:c>
      <x:c r="N47" s="113" t="n">
        <x:v>0</x:v>
      </x:c>
      <x:c r="O47" s="113" t="n">
        <x:f>SUM(C47:L47)+N47</x:f>
        <x:v>415</x:v>
      </x:c>
    </x:row>
    <x:row r="48">
      <x:c r="A48" s="112" t="str">
        <x:f>TurKatilim!A48</x:f>
        <x:v>MERT BUGRA DAN </x:v>
      </x:c>
      <x:c r="B48" s="112" t="b">
        <x:f>TurKatilim!N48</x:f>
        <x:v>0</x:v>
      </x:c>
      <x:c r="C48" s="113" t="n">
        <x:f>IF(TurKatilim!B48,40,0)</x:f>
        <x:v>40</x:v>
      </x:c>
      <x:c r="D48" s="113" t="n">
        <x:f>IF(TurKatilim!C48,50,0)</x:f>
        <x:v>50</x:v>
      </x:c>
      <x:c r="E48" s="113" t="n">
        <x:f>IF(TurKatilim!D48,60,0)</x:f>
        <x:v>60</x:v>
      </x:c>
      <x:c r="F48" s="113" t="n">
        <x:f>IF(TurKatilim!E48,65,0)</x:f>
        <x:v>65</x:v>
      </x:c>
      <x:c r="G48" s="113" t="n">
        <x:f>IF(TurKatilim!F48,40,0)</x:f>
        <x:v>0</x:v>
      </x:c>
      <x:c r="H48" s="113" t="n">
        <x:f>IF(TurKatilim!G48,60,0)</x:f>
        <x:v>60</x:v>
      </x:c>
      <x:c r="I48" s="113" t="n">
        <x:f>IF(TurKatilim!H48,70,0)</x:f>
        <x:v>0</x:v>
      </x:c>
      <x:c r="J48" s="113" t="n">
        <x:f>IF(TurKatilim!I48,40,0)</x:f>
        <x:v>40</x:v>
      </x:c>
      <x:c r="K48" s="113" t="n">
        <x:f>IF(TurKatilim!J48,100,0)</x:f>
        <x:v>100</x:v>
      </x:c>
      <x:c r="L48" s="113" t="n">
        <x:f>IF(TurKatilim!L48,65,0)</x:f>
        <x:v>0</x:v>
      </x:c>
      <x:c r="M48" s="113" t="n">
        <x:v>-25</x:v>
      </x:c>
      <x:c r="N48" s="113" t="n">
        <x:v>-70</x:v>
      </x:c>
      <x:c r="O48" s="113" t="n">
        <x:f>SUM(C48:L48)+N48</x:f>
        <x:v>345</x:v>
      </x:c>
    </x:row>
    <x:row r="49">
      <x:c r="A49" s="114" t="str">
        <x:f>TurKatilim!A49</x:f>
        <x:v>SEDAT ÖZDEMİR</x:v>
      </x:c>
      <x:c r="B49" s="114" t="b">
        <x:f>TurKatilim!N49</x:f>
        <x:v>0</x:v>
      </x:c>
      <x:c r="C49" s="115" t="n">
        <x:f>IF(TurKatilim!B49,40,0)</x:f>
        <x:v>40</x:v>
      </x:c>
      <x:c r="D49" s="115" t="n">
        <x:f>IF(TurKatilim!C49,50,0)</x:f>
        <x:v>50</x:v>
      </x:c>
      <x:c r="E49" s="115" t="n">
        <x:f>IF(TurKatilim!D49,60,0)</x:f>
        <x:v>60</x:v>
      </x:c>
      <x:c r="F49" s="115" t="n">
        <x:f>IF(TurKatilim!E49,65,0)</x:f>
        <x:v>65</x:v>
      </x:c>
      <x:c r="G49" s="115" t="n">
        <x:f>IF(TurKatilim!F49,40,0)</x:f>
        <x:v>40</x:v>
      </x:c>
      <x:c r="H49" s="115" t="n">
        <x:f>IF(TurKatilim!G49,60,0)</x:f>
        <x:v>60</x:v>
      </x:c>
      <x:c r="I49" s="115" t="n">
        <x:f>IF(TurKatilim!H49,70,0)</x:f>
        <x:v>70</x:v>
      </x:c>
      <x:c r="J49" s="115" t="n">
        <x:f>IF(TurKatilim!I49,40,0)</x:f>
        <x:v>40</x:v>
      </x:c>
      <x:c r="K49" s="115" t="n">
        <x:f>IF(TurKatilim!J49,100,0)</x:f>
        <x:v>100</x:v>
      </x:c>
      <x:c r="L49" s="115" t="n">
        <x:f>IF(TurKatilim!L49,65,0)</x:f>
        <x:v>0</x:v>
      </x:c>
      <x:c r="M49" s="115" t="n">
        <x:v>-25</x:v>
      </x:c>
      <x:c r="N49" s="115" t="n">
        <x:v>0</x:v>
      </x:c>
      <x:c r="O49" s="115" t="n">
        <x:f>SUM(C49:L49)+N49</x:f>
        <x:v>525</x:v>
      </x:c>
    </x:row>
    <x:row r="50">
      <x:c r="A50" s="116" t="str">
        <x:v>TOPLAM</x:v>
      </x:c>
      <x:c r="B50" s="116"/>
      <x:c r="C50" s="117" t="n">
        <x:f>SUM(C3:C49)</x:f>
        <x:v>1520</x:v>
      </x:c>
      <x:c r="D50" s="117" t="n">
        <x:f>SUM(D3:D49)</x:f>
        <x:v>1550</x:v>
      </x:c>
      <x:c r="E50" s="117" t="n">
        <x:f>SUM(E3:E49)</x:f>
        <x:v>1500</x:v>
      </x:c>
      <x:c r="F50" s="117" t="n">
        <x:f>SUM(F3:F49)</x:f>
        <x:v>1235</x:v>
      </x:c>
      <x:c r="G50" s="117" t="n">
        <x:f>SUM(G3:G49)</x:f>
        <x:v>1160</x:v>
      </x:c>
      <x:c r="H50" s="117" t="n">
        <x:f>SUM(H3:H49)</x:f>
        <x:v>1980</x:v>
      </x:c>
      <x:c r="I50" s="117" t="n">
        <x:f>SUM(I3:I49)</x:f>
        <x:v>420</x:v>
      </x:c>
      <x:c r="J50" s="117" t="n">
        <x:f>SUM(J3:J49)</x:f>
        <x:v>1120</x:v>
      </x:c>
      <x:c r="K50" s="117" t="n">
        <x:f>SUM(K3:K49)</x:f>
        <x:v>2700</x:v>
      </x:c>
      <x:c r="L50" s="117" t="n">
        <x:f>SUM(L3:L49)</x:f>
        <x:v>65</x:v>
      </x:c>
      <x:c r="M50" s="117" t="n">
        <x:f>SUM(M3:M49)</x:f>
        <x:v>-300</x:v>
      </x:c>
      <x:c r="N50" s="117" t="n">
        <x:f>SUM(N3:N49)</x:f>
        <x:v>-120</x:v>
      </x:c>
      <x:c r="O50" s="117" t="n">
        <x:f>SUM(O3:O49)</x:f>
        <x:v>13130</x:v>
      </x:c>
    </x:row>
  </x:sheetData>
  <x:mergeCells>
    <x:mergeCell ref="A1:O1"/>
  </x:mergeCells>
  <x:pageMargins left="0.7" right="0.7" top="0.75" bottom="0.75" header="0.3" footer="0.3"/>
</x:worksheet>
</file>