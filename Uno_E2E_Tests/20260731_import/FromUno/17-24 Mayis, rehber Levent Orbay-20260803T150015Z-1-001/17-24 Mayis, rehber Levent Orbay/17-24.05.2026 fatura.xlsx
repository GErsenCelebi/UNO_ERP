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ryaevren/Desktop/Turlar/"/>
    </mc:Choice>
  </mc:AlternateContent>
  <xr:revisionPtr revIDLastSave="0" documentId="8_{201A1BF2-20A9-2746-BF16-886DC0F15E66}" xr6:coauthVersionLast="47" xr6:coauthVersionMax="47" xr10:uidLastSave="{00000000-0000-0000-0000-000000000000}"/>
  <bookViews>
    <workbookView xWindow="0" yWindow="740" windowWidth="21800" windowHeight="12980" xr2:uid="{65D7E03B-A124-4C72-BE95-E5A416C103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40" i="1"/>
  <c r="H45" i="1"/>
  <c r="H44" i="1"/>
  <c r="H43" i="1"/>
  <c r="H36" i="1"/>
  <c r="H26" i="1"/>
  <c r="H27" i="1"/>
  <c r="H28" i="1"/>
  <c r="H29" i="1"/>
  <c r="H30" i="1"/>
  <c r="H31" i="1"/>
  <c r="H32" i="1"/>
  <c r="H33" i="1"/>
  <c r="H34" i="1"/>
  <c r="H35" i="1"/>
  <c r="H37" i="1"/>
  <c r="H38" i="1"/>
  <c r="H39" i="1"/>
  <c r="H20" i="1"/>
  <c r="H21" i="1"/>
  <c r="H22" i="1"/>
  <c r="H23" i="1"/>
  <c r="H25" i="1"/>
  <c r="H19" i="1"/>
  <c r="H48" i="1" l="1"/>
</calcChain>
</file>

<file path=xl/sharedStrings.xml><?xml version="1.0" encoding="utf-8"?>
<sst xmlns="http://schemas.openxmlformats.org/spreadsheetml/2006/main" count="76" uniqueCount="57">
  <si>
    <t>PROFORMA INVOICE</t>
  </si>
  <si>
    <t>Od :</t>
  </si>
  <si>
    <t>Do :</t>
  </si>
  <si>
    <t>Tel :</t>
  </si>
  <si>
    <t>Fax :</t>
  </si>
  <si>
    <t>IČO :</t>
  </si>
  <si>
    <t>DIČ :</t>
  </si>
  <si>
    <t>Invoice No :</t>
  </si>
  <si>
    <t>Date :</t>
  </si>
  <si>
    <t>Ref :</t>
  </si>
  <si>
    <t>Due:</t>
  </si>
  <si>
    <t>Date</t>
  </si>
  <si>
    <t>Room</t>
  </si>
  <si>
    <t>Unit</t>
  </si>
  <si>
    <t>Night</t>
  </si>
  <si>
    <t>Unit Price</t>
  </si>
  <si>
    <t>Total Price</t>
  </si>
  <si>
    <t>TOTAL :</t>
  </si>
  <si>
    <t>YOU ARE KINDLY REQUESTED TO SETTLE THIS INVOICE</t>
  </si>
  <si>
    <t>TWIN</t>
  </si>
  <si>
    <t>Management s.r.o.</t>
  </si>
  <si>
    <t>UNO Event Travel and Trade</t>
  </si>
  <si>
    <t>00420777033070</t>
  </si>
  <si>
    <t>09419217</t>
  </si>
  <si>
    <t>WTATIL Seyhat Tur Acentaligi Ltd.Sti.</t>
  </si>
  <si>
    <t>Ataturk Mh., Atasehir Bulvari Gardenya, No:3</t>
  </si>
  <si>
    <t>Atsh 42 K Blok 7/1, 114 Atasehir - Istanbul</t>
  </si>
  <si>
    <t>BY BANK TRANSFER SWIFT TO THE CREDIT OF OUR BANK</t>
  </si>
  <si>
    <t>EURO ACCOUNT</t>
  </si>
  <si>
    <t>UNO Event Travel and Trade Management sro</t>
  </si>
  <si>
    <t>IBAN LT36 3250 0073 5311 2357</t>
  </si>
  <si>
    <t>BIC / SWIFT: REVOLT21</t>
  </si>
  <si>
    <t>Revolut Bank UAB</t>
  </si>
  <si>
    <t>Konstitucijos ave. 21B, 08130, Vilnius, Lithuania</t>
  </si>
  <si>
    <t>Orta Avrupa</t>
  </si>
  <si>
    <t>SINGLE</t>
  </si>
  <si>
    <t>TRIPLE</t>
  </si>
  <si>
    <t>Rybná 716/24, Staré Město, 110 00 Praha</t>
  </si>
  <si>
    <t>DRIVER</t>
  </si>
  <si>
    <t>GUIDE</t>
  </si>
  <si>
    <t>1</t>
  </si>
  <si>
    <t>DOUBLE</t>
  </si>
  <si>
    <t>DBL disc</t>
  </si>
  <si>
    <t xml:space="preserve">DBL disc. </t>
  </si>
  <si>
    <t>DBL disc.</t>
  </si>
  <si>
    <t>Otobus servisi</t>
  </si>
  <si>
    <t>Yetiskin</t>
  </si>
  <si>
    <t>Handling inidirimi</t>
  </si>
  <si>
    <t>Tur alan</t>
  </si>
  <si>
    <t>CANADA</t>
  </si>
  <si>
    <t>17.05.-19.05.2026</t>
  </si>
  <si>
    <t>19.05-21.05. 2026</t>
  </si>
  <si>
    <t>21.05.-24.05.2026</t>
  </si>
  <si>
    <t>ALLEGRO</t>
  </si>
  <si>
    <t>OLYMPIK</t>
  </si>
  <si>
    <t>Buda otel odemesi</t>
  </si>
  <si>
    <t>Danubius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</si>
</sst>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&quot;Kč&quot;_-;\-* #,##0.00\ &quot;Kč&quot;_-;_-* &quot;-&quot;??\ &quot;Kč&quot;_-;_-@_-"/>
    <numFmt numFmtId="165" formatCode="_-* #,##0.00\ [$€-1]_-;\-* #,##0.00\ [$€-1]_-;_-* &quot;-&quot;??\ [$€-1]_-;_-@_-"/>
    <numFmt numFmtId="166" formatCode="#,##0\ [$€-407]"/>
  </numFmts>
  <fonts count="1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6"/>
      <color theme="1"/>
      <name val="Times New Roman"/>
      <family val="1"/>
      <charset val="238"/>
    </font>
    <font>
      <sz val="10"/>
      <color theme="1"/>
      <name val="Calibri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sz val="12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0"/>
      <color rgb="FFFF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3">
    <xf numFmtId="0" fontId="0" fillId="0" borderId="0" xfId="0"/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7" fillId="0" borderId="8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165" fontId="5" fillId="0" borderId="5" xfId="1" applyNumberFormat="1" applyFont="1" applyBorder="1" applyAlignment="1">
      <alignment horizontal="right" wrapText="1"/>
    </xf>
    <xf numFmtId="165" fontId="5" fillId="0" borderId="5" xfId="0" applyNumberFormat="1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4" fillId="0" borderId="14" xfId="0" applyFont="1" applyBorder="1" applyAlignment="1">
      <alignment horizontal="right" wrapText="1"/>
    </xf>
    <xf numFmtId="0" fontId="3" fillId="0" borderId="15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3" fillId="0" borderId="17" xfId="0" applyFont="1" applyBorder="1" applyAlignment="1">
      <alignment wrapText="1"/>
    </xf>
    <xf numFmtId="0" fontId="4" fillId="0" borderId="17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0" fontId="3" fillId="0" borderId="20" xfId="0" applyFont="1" applyBorder="1" applyAlignment="1">
      <alignment wrapText="1"/>
    </xf>
    <xf numFmtId="0" fontId="4" fillId="0" borderId="20" xfId="0" applyFont="1" applyBorder="1" applyAlignment="1">
      <alignment horizontal="right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65" fontId="5" fillId="0" borderId="5" xfId="0" applyNumberFormat="1" applyFont="1" applyBorder="1" applyAlignment="1">
      <alignment wrapText="1"/>
    </xf>
    <xf numFmtId="0" fontId="9" fillId="0" borderId="19" xfId="0" applyFont="1" applyBorder="1" applyAlignment="1">
      <alignment horizontal="right" wrapText="1"/>
    </xf>
    <xf numFmtId="49" fontId="8" fillId="0" borderId="5" xfId="0" applyNumberFormat="1" applyFont="1" applyBorder="1" applyAlignment="1">
      <alignment horizontal="center" wrapText="1"/>
    </xf>
    <xf numFmtId="165" fontId="5" fillId="0" borderId="5" xfId="1" quotePrefix="1" applyNumberFormat="1" applyFont="1" applyBorder="1" applyAlignment="1">
      <alignment horizontal="right" wrapText="1"/>
    </xf>
    <xf numFmtId="166" fontId="3" fillId="0" borderId="5" xfId="0" applyNumberFormat="1" applyFont="1" applyBorder="1" applyAlignment="1">
      <alignment wrapText="1"/>
    </xf>
    <xf numFmtId="166" fontId="5" fillId="0" borderId="5" xfId="0" applyNumberFormat="1" applyFont="1" applyBorder="1" applyAlignment="1">
      <alignment horizontal="right" wrapText="1"/>
    </xf>
    <xf numFmtId="166" fontId="7" fillId="0" borderId="21" xfId="0" applyNumberFormat="1" applyFont="1" applyBorder="1" applyAlignment="1">
      <alignment horizontal="right" wrapText="1"/>
    </xf>
    <xf numFmtId="0" fontId="5" fillId="0" borderId="19" xfId="0" applyFont="1" applyBorder="1" applyAlignment="1">
      <alignment horizontal="center" wrapText="1"/>
    </xf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8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3" fillId="0" borderId="20" xfId="0" applyFont="1" applyBorder="1" applyAlignment="1">
      <alignment wrapText="1"/>
    </xf>
    <xf numFmtId="0" fontId="3" fillId="0" borderId="21" xfId="0" applyFont="1" applyBorder="1" applyAlignment="1">
      <alignment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10" fillId="0" borderId="0" xfId="0" applyFont="1" applyAlignment="1">
      <alignment wrapText="1"/>
    </xf>
    <xf numFmtId="0" fontId="10" fillId="0" borderId="5" xfId="0" applyFont="1" applyBorder="1" applyAlignment="1">
      <alignment wrapText="1"/>
    </xf>
    <xf numFmtId="0" fontId="7" fillId="0" borderId="9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14" fontId="6" fillId="0" borderId="0" xfId="0" applyNumberFormat="1" applyFont="1" applyAlignment="1">
      <alignment horizontal="center" wrapText="1"/>
    </xf>
    <xf numFmtId="14" fontId="6" fillId="0" borderId="5" xfId="0" applyNumberFormat="1" applyFont="1" applyBorder="1" applyAlignment="1">
      <alignment horizontal="center" wrapText="1"/>
    </xf>
    <xf numFmtId="49" fontId="5" fillId="0" borderId="0" xfId="0" applyNumberFormat="1" applyFont="1" applyAlignment="1">
      <alignment wrapText="1"/>
    </xf>
    <xf numFmtId="0" fontId="3" fillId="0" borderId="18" xfId="0" applyFont="1" applyBorder="1" applyAlignment="1">
      <alignment wrapText="1"/>
    </xf>
    <xf numFmtId="3" fontId="5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8" fillId="0" borderId="18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0" xfId="0" applyFont="1" applyAlignment="1">
      <alignment vertical="top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1955-9834-4C42-A9FD-F7293D8011CE}">
  <dimension ref="A1:H58"/>
  <sheetViews>
    <sheetView tabSelected="1" topLeftCell="A5" zoomScale="85" zoomScaleNormal="85" workbookViewId="0">
      <selection activeCell="A12" sqref="A12:H60"/>
    </sheetView>
  </sheetViews>
  <sheetFormatPr baseColWidth="10" defaultColWidth="8.83203125" defaultRowHeight="15" x14ac:dyDescent="0.2"/>
  <cols>
    <col min="5" max="6" width="8.83203125" bestFit="1" customWidth="1"/>
    <col min="7" max="7" width="10.83203125" bestFit="1" customWidth="1"/>
    <col min="8" max="8" width="14.6640625" customWidth="1"/>
  </cols>
  <sheetData>
    <row r="1" spans="1:8" ht="20" customHeight="1" x14ac:dyDescent="0.2">
      <c r="A1" s="77" t="s">
        <v>0</v>
      </c>
      <c r="B1" s="78"/>
      <c r="C1" s="78"/>
      <c r="D1" s="78"/>
      <c r="E1" s="78"/>
      <c r="F1" s="78"/>
      <c r="G1" s="78"/>
      <c r="H1" s="79"/>
    </row>
    <row r="2" spans="1:8" x14ac:dyDescent="0.2">
      <c r="A2" s="1"/>
      <c r="B2" s="2"/>
      <c r="C2" s="2"/>
      <c r="D2" s="2"/>
      <c r="E2" s="2"/>
      <c r="F2" s="2"/>
      <c r="G2" s="2"/>
      <c r="H2" s="3"/>
    </row>
    <row r="3" spans="1:8" ht="1.5" customHeight="1" thickBot="1" x14ac:dyDescent="0.25">
      <c r="A3" s="1"/>
      <c r="B3" s="2"/>
      <c r="C3" s="2"/>
      <c r="D3" s="2"/>
      <c r="E3" s="2"/>
      <c r="F3" s="2"/>
      <c r="G3" s="2"/>
      <c r="H3" s="3"/>
    </row>
    <row r="4" spans="1:8" ht="30" customHeight="1" x14ac:dyDescent="0.2">
      <c r="A4" s="21" t="s">
        <v>1</v>
      </c>
      <c r="B4" s="80" t="s">
        <v>21</v>
      </c>
      <c r="C4" s="80"/>
      <c r="D4" s="80"/>
      <c r="E4" s="22"/>
      <c r="F4" s="23" t="s">
        <v>2</v>
      </c>
      <c r="G4" s="80" t="s">
        <v>24</v>
      </c>
      <c r="H4" s="81"/>
    </row>
    <row r="5" spans="1:8" ht="32.25" customHeight="1" x14ac:dyDescent="0.2">
      <c r="A5" s="24"/>
      <c r="B5" s="82" t="s">
        <v>20</v>
      </c>
      <c r="C5" s="82"/>
      <c r="D5" s="82"/>
      <c r="E5" s="2"/>
      <c r="F5" s="2"/>
      <c r="G5" s="75" t="s">
        <v>25</v>
      </c>
      <c r="H5" s="76"/>
    </row>
    <row r="6" spans="1:8" ht="25.5" customHeight="1" x14ac:dyDescent="0.2">
      <c r="A6" s="24"/>
      <c r="B6" s="75" t="s">
        <v>37</v>
      </c>
      <c r="C6" s="75"/>
      <c r="D6" s="75"/>
      <c r="E6" s="2"/>
      <c r="F6" s="2"/>
      <c r="G6" s="75" t="s">
        <v>26</v>
      </c>
      <c r="H6" s="76"/>
    </row>
    <row r="7" spans="1:8" x14ac:dyDescent="0.2">
      <c r="A7" s="25" t="s">
        <v>3</v>
      </c>
      <c r="B7" s="71" t="s">
        <v>22</v>
      </c>
      <c r="C7" s="71"/>
      <c r="D7" s="71"/>
      <c r="E7" s="2"/>
      <c r="F7" s="7" t="s">
        <v>3</v>
      </c>
      <c r="G7" s="54"/>
      <c r="H7" s="72"/>
    </row>
    <row r="8" spans="1:8" x14ac:dyDescent="0.2">
      <c r="A8" s="25" t="s">
        <v>4</v>
      </c>
      <c r="B8" s="73"/>
      <c r="C8" s="73"/>
      <c r="D8" s="73"/>
      <c r="E8" s="2"/>
      <c r="F8" s="7" t="s">
        <v>4</v>
      </c>
      <c r="G8" s="54"/>
      <c r="H8" s="72"/>
    </row>
    <row r="9" spans="1:8" x14ac:dyDescent="0.2">
      <c r="A9" s="25" t="s">
        <v>5</v>
      </c>
      <c r="B9" s="74" t="s">
        <v>23</v>
      </c>
      <c r="C9" s="74"/>
      <c r="D9" s="74"/>
      <c r="E9" s="2"/>
      <c r="F9" s="7" t="s">
        <v>5</v>
      </c>
      <c r="G9" s="54"/>
      <c r="H9" s="72"/>
    </row>
    <row r="10" spans="1:8" ht="16" thickBot="1" x14ac:dyDescent="0.25">
      <c r="A10" s="26" t="s">
        <v>6</v>
      </c>
      <c r="B10" s="56"/>
      <c r="C10" s="56"/>
      <c r="D10" s="56"/>
      <c r="E10" s="27"/>
      <c r="F10" s="28" t="s">
        <v>6</v>
      </c>
      <c r="G10" s="56"/>
      <c r="H10" s="57"/>
    </row>
    <row r="11" spans="1:8" x14ac:dyDescent="0.2">
      <c r="A11" s="1"/>
      <c r="B11" s="2"/>
      <c r="C11" s="2"/>
      <c r="D11" s="2"/>
      <c r="E11" s="2"/>
      <c r="F11" s="2"/>
      <c r="G11" s="2"/>
      <c r="H11" s="3"/>
    </row>
    <row r="12" spans="1:8" x14ac:dyDescent="0.2">
      <c r="A12" s="1"/>
      <c r="B12" s="8" t="s">
        <v>7</v>
      </c>
      <c r="C12" s="58">
        <v>1724052026</v>
      </c>
      <c r="D12" s="58"/>
      <c r="E12" s="2"/>
      <c r="F12" s="9" t="s">
        <v>8</v>
      </c>
      <c r="G12" s="59">
        <v>46153</v>
      </c>
      <c r="H12" s="60"/>
    </row>
    <row r="13" spans="1:8" x14ac:dyDescent="0.2">
      <c r="A13" s="1"/>
      <c r="B13" s="7" t="s">
        <v>9</v>
      </c>
      <c r="C13" s="54"/>
      <c r="D13" s="54"/>
      <c r="E13" s="54"/>
      <c r="F13" s="9" t="s">
        <v>10</v>
      </c>
      <c r="G13" s="69">
        <v>46157</v>
      </c>
      <c r="H13" s="70"/>
    </row>
    <row r="14" spans="1:8" x14ac:dyDescent="0.2">
      <c r="A14" s="1"/>
      <c r="B14" s="2"/>
      <c r="C14" s="61"/>
      <c r="D14" s="61"/>
      <c r="E14" s="61"/>
      <c r="F14" s="61"/>
      <c r="G14" s="61"/>
      <c r="H14" s="62"/>
    </row>
    <row r="15" spans="1:8" ht="16" thickBot="1" x14ac:dyDescent="0.25">
      <c r="A15" s="4"/>
      <c r="B15" s="5"/>
      <c r="C15" s="5"/>
      <c r="D15" s="5"/>
      <c r="E15" s="5"/>
      <c r="F15" s="5"/>
      <c r="G15" s="5"/>
      <c r="H15" s="6"/>
    </row>
    <row r="16" spans="1:8" ht="18" thickBot="1" x14ac:dyDescent="0.25">
      <c r="A16" s="63" t="s">
        <v>11</v>
      </c>
      <c r="B16" s="64"/>
      <c r="C16" s="63" t="s">
        <v>12</v>
      </c>
      <c r="D16" s="64"/>
      <c r="E16" s="10" t="s">
        <v>13</v>
      </c>
      <c r="F16" s="10" t="s">
        <v>14</v>
      </c>
      <c r="G16" s="10" t="s">
        <v>15</v>
      </c>
      <c r="H16" s="10" t="s">
        <v>16</v>
      </c>
    </row>
    <row r="17" spans="1:8" x14ac:dyDescent="0.2">
      <c r="A17" s="65"/>
      <c r="B17" s="66"/>
      <c r="C17" s="3"/>
      <c r="D17" s="3"/>
      <c r="E17" s="3"/>
      <c r="F17" s="3"/>
      <c r="G17" s="3"/>
      <c r="H17" s="35"/>
    </row>
    <row r="18" spans="1:8" x14ac:dyDescent="0.2">
      <c r="A18" s="67" t="s">
        <v>34</v>
      </c>
      <c r="B18" s="68"/>
      <c r="C18" s="3"/>
      <c r="D18" s="3"/>
      <c r="E18" s="3"/>
      <c r="F18" s="3"/>
      <c r="G18" s="3"/>
      <c r="H18" s="35"/>
    </row>
    <row r="19" spans="1:8" x14ac:dyDescent="0.2">
      <c r="A19" s="49" t="s">
        <v>49</v>
      </c>
      <c r="B19" s="50"/>
      <c r="C19" s="11"/>
      <c r="D19" s="14" t="s">
        <v>19</v>
      </c>
      <c r="E19" s="11">
        <v>4</v>
      </c>
      <c r="F19" s="11">
        <v>2</v>
      </c>
      <c r="G19" s="16">
        <v>92</v>
      </c>
      <c r="H19" s="36">
        <f>E19*F19*G19</f>
        <v>736</v>
      </c>
    </row>
    <row r="20" spans="1:8" x14ac:dyDescent="0.2">
      <c r="A20" s="49" t="s">
        <v>50</v>
      </c>
      <c r="B20" s="50"/>
      <c r="C20" s="11"/>
      <c r="D20" s="14" t="s">
        <v>41</v>
      </c>
      <c r="E20" s="11">
        <v>11</v>
      </c>
      <c r="F20" s="11">
        <v>2</v>
      </c>
      <c r="G20" s="16">
        <v>92</v>
      </c>
      <c r="H20" s="36">
        <f t="shared" ref="H20:H45" si="0">E20*F20*G20</f>
        <v>2024</v>
      </c>
    </row>
    <row r="21" spans="1:8" x14ac:dyDescent="0.2">
      <c r="A21" s="29"/>
      <c r="B21" s="30"/>
      <c r="C21" s="11"/>
      <c r="D21" s="14" t="s">
        <v>35</v>
      </c>
      <c r="E21" s="11">
        <v>1</v>
      </c>
      <c r="F21" s="11">
        <v>2</v>
      </c>
      <c r="G21" s="34">
        <v>62</v>
      </c>
      <c r="H21" s="36">
        <f t="shared" si="0"/>
        <v>124</v>
      </c>
    </row>
    <row r="22" spans="1:8" x14ac:dyDescent="0.2">
      <c r="A22" s="47"/>
      <c r="B22" s="48"/>
      <c r="C22" s="11"/>
      <c r="D22" s="14" t="s">
        <v>36</v>
      </c>
      <c r="E22" s="11">
        <v>1</v>
      </c>
      <c r="F22" s="11">
        <v>2</v>
      </c>
      <c r="G22" s="16">
        <v>120</v>
      </c>
      <c r="H22" s="36">
        <f t="shared" si="0"/>
        <v>240</v>
      </c>
    </row>
    <row r="23" spans="1:8" x14ac:dyDescent="0.2">
      <c r="A23" s="17"/>
      <c r="B23" s="13"/>
      <c r="C23" s="14"/>
      <c r="D23" s="14" t="s">
        <v>42</v>
      </c>
      <c r="E23" s="33" t="s">
        <v>40</v>
      </c>
      <c r="F23" s="11">
        <v>2</v>
      </c>
      <c r="G23" s="15">
        <v>-46</v>
      </c>
      <c r="H23" s="36">
        <f t="shared" si="0"/>
        <v>-92</v>
      </c>
    </row>
    <row r="24" spans="1:8" x14ac:dyDescent="0.2">
      <c r="A24" s="17"/>
      <c r="B24" s="13"/>
      <c r="C24" s="14"/>
      <c r="D24" s="14" t="s">
        <v>39</v>
      </c>
      <c r="E24" s="33" t="s">
        <v>40</v>
      </c>
      <c r="F24" s="11">
        <v>2</v>
      </c>
      <c r="G24" s="15">
        <v>60</v>
      </c>
      <c r="H24" s="36">
        <v>120</v>
      </c>
    </row>
    <row r="25" spans="1:8" x14ac:dyDescent="0.2">
      <c r="A25" s="17"/>
      <c r="B25" s="13"/>
      <c r="C25" s="14"/>
      <c r="D25" s="14" t="s">
        <v>38</v>
      </c>
      <c r="E25" s="11">
        <v>1</v>
      </c>
      <c r="F25" s="11">
        <v>2</v>
      </c>
      <c r="G25" s="15">
        <v>60</v>
      </c>
      <c r="H25" s="36">
        <f t="shared" si="0"/>
        <v>120</v>
      </c>
    </row>
    <row r="26" spans="1:8" x14ac:dyDescent="0.2">
      <c r="A26" s="49" t="s">
        <v>53</v>
      </c>
      <c r="B26" s="50"/>
      <c r="C26" s="14"/>
      <c r="D26" s="14" t="s">
        <v>19</v>
      </c>
      <c r="E26" s="11">
        <v>4</v>
      </c>
      <c r="F26" s="11">
        <v>2</v>
      </c>
      <c r="G26" s="16">
        <v>84</v>
      </c>
      <c r="H26" s="36">
        <f t="shared" si="0"/>
        <v>672</v>
      </c>
    </row>
    <row r="27" spans="1:8" x14ac:dyDescent="0.2">
      <c r="A27" s="49" t="s">
        <v>51</v>
      </c>
      <c r="B27" s="50"/>
      <c r="C27" s="14"/>
      <c r="D27" s="14" t="s">
        <v>41</v>
      </c>
      <c r="E27" s="11">
        <v>11</v>
      </c>
      <c r="F27" s="11">
        <v>2</v>
      </c>
      <c r="G27" s="16">
        <v>84</v>
      </c>
      <c r="H27" s="36">
        <f t="shared" si="0"/>
        <v>1848</v>
      </c>
    </row>
    <row r="28" spans="1:8" x14ac:dyDescent="0.2">
      <c r="A28" s="47"/>
      <c r="B28" s="48"/>
      <c r="C28" s="14"/>
      <c r="D28" s="14" t="s">
        <v>35</v>
      </c>
      <c r="E28" s="11">
        <v>1</v>
      </c>
      <c r="F28" s="11">
        <v>2</v>
      </c>
      <c r="G28" s="16">
        <v>77</v>
      </c>
      <c r="H28" s="36">
        <f t="shared" si="0"/>
        <v>154</v>
      </c>
    </row>
    <row r="29" spans="1:8" x14ac:dyDescent="0.2">
      <c r="A29" s="47"/>
      <c r="B29" s="48"/>
      <c r="C29" s="14"/>
      <c r="D29" s="14" t="s">
        <v>36</v>
      </c>
      <c r="E29" s="11">
        <v>1</v>
      </c>
      <c r="F29" s="11">
        <v>2</v>
      </c>
      <c r="G29" s="16">
        <v>111</v>
      </c>
      <c r="H29" s="36">
        <f t="shared" si="0"/>
        <v>222</v>
      </c>
    </row>
    <row r="30" spans="1:8" x14ac:dyDescent="0.2">
      <c r="A30" s="17"/>
      <c r="B30" s="13"/>
      <c r="C30" s="14"/>
      <c r="D30" s="14" t="s">
        <v>43</v>
      </c>
      <c r="E30" s="11">
        <v>1</v>
      </c>
      <c r="F30" s="11">
        <v>2</v>
      </c>
      <c r="G30" s="16">
        <v>-42</v>
      </c>
      <c r="H30" s="36">
        <f t="shared" si="0"/>
        <v>-84</v>
      </c>
    </row>
    <row r="31" spans="1:8" x14ac:dyDescent="0.2">
      <c r="A31" s="17"/>
      <c r="B31" s="13"/>
      <c r="C31" s="14"/>
      <c r="D31" s="14" t="s">
        <v>38</v>
      </c>
      <c r="E31" s="11">
        <v>1</v>
      </c>
      <c r="F31" s="11">
        <v>2</v>
      </c>
      <c r="G31" s="16">
        <v>75</v>
      </c>
      <c r="H31" s="36">
        <f t="shared" si="0"/>
        <v>150</v>
      </c>
    </row>
    <row r="32" spans="1:8" x14ac:dyDescent="0.2">
      <c r="A32" s="17"/>
      <c r="B32" s="13"/>
      <c r="C32" s="14"/>
      <c r="D32" s="14" t="s">
        <v>39</v>
      </c>
      <c r="E32" s="11">
        <v>1</v>
      </c>
      <c r="F32" s="11">
        <v>2</v>
      </c>
      <c r="G32" s="16">
        <v>75</v>
      </c>
      <c r="H32" s="36">
        <f t="shared" si="0"/>
        <v>150</v>
      </c>
    </row>
    <row r="33" spans="1:8" x14ac:dyDescent="0.2">
      <c r="A33" s="49" t="s">
        <v>54</v>
      </c>
      <c r="B33" s="50"/>
      <c r="C33" s="14"/>
      <c r="D33" s="14" t="s">
        <v>19</v>
      </c>
      <c r="E33" s="11">
        <v>4</v>
      </c>
      <c r="F33" s="11">
        <v>3</v>
      </c>
      <c r="G33" s="31">
        <v>80</v>
      </c>
      <c r="H33" s="36">
        <f t="shared" si="0"/>
        <v>960</v>
      </c>
    </row>
    <row r="34" spans="1:8" x14ac:dyDescent="0.2">
      <c r="A34" s="49" t="s">
        <v>52</v>
      </c>
      <c r="B34" s="50"/>
      <c r="C34" s="14"/>
      <c r="D34" s="14" t="s">
        <v>41</v>
      </c>
      <c r="E34" s="11">
        <v>11</v>
      </c>
      <c r="F34" s="11">
        <v>3</v>
      </c>
      <c r="G34" s="31">
        <v>80</v>
      </c>
      <c r="H34" s="36">
        <f t="shared" si="0"/>
        <v>2640</v>
      </c>
    </row>
    <row r="35" spans="1:8" x14ac:dyDescent="0.2">
      <c r="A35" s="17"/>
      <c r="B35" s="13"/>
      <c r="C35" s="14"/>
      <c r="D35" s="14" t="s">
        <v>35</v>
      </c>
      <c r="E35" s="11">
        <v>1</v>
      </c>
      <c r="F35" s="11">
        <v>3</v>
      </c>
      <c r="G35" s="31">
        <v>72</v>
      </c>
      <c r="H35" s="36">
        <f t="shared" si="0"/>
        <v>216</v>
      </c>
    </row>
    <row r="36" spans="1:8" x14ac:dyDescent="0.2">
      <c r="A36" s="17"/>
      <c r="B36" s="13"/>
      <c r="C36" s="14"/>
      <c r="D36" s="14" t="s">
        <v>36</v>
      </c>
      <c r="E36" s="11">
        <v>1</v>
      </c>
      <c r="F36" s="11">
        <v>3</v>
      </c>
      <c r="G36" s="31">
        <v>108</v>
      </c>
      <c r="H36" s="36">
        <f t="shared" si="0"/>
        <v>324</v>
      </c>
    </row>
    <row r="37" spans="1:8" x14ac:dyDescent="0.2">
      <c r="A37" s="17"/>
      <c r="B37" s="13"/>
      <c r="C37" s="14"/>
      <c r="D37" s="14" t="s">
        <v>44</v>
      </c>
      <c r="E37" s="11">
        <v>1</v>
      </c>
      <c r="F37" s="11">
        <v>3</v>
      </c>
      <c r="G37" s="31">
        <v>-40</v>
      </c>
      <c r="H37" s="36">
        <f t="shared" si="0"/>
        <v>-120</v>
      </c>
    </row>
    <row r="38" spans="1:8" x14ac:dyDescent="0.2">
      <c r="A38" s="17"/>
      <c r="B38" s="13"/>
      <c r="C38" s="14"/>
      <c r="D38" s="14" t="s">
        <v>38</v>
      </c>
      <c r="E38" s="11">
        <v>1</v>
      </c>
      <c r="F38" s="11">
        <v>3</v>
      </c>
      <c r="G38" s="31">
        <v>72</v>
      </c>
      <c r="H38" s="36">
        <f t="shared" si="0"/>
        <v>216</v>
      </c>
    </row>
    <row r="39" spans="1:8" x14ac:dyDescent="0.2">
      <c r="A39" s="17"/>
      <c r="B39" s="13"/>
      <c r="C39" s="14"/>
      <c r="D39" s="14" t="s">
        <v>39</v>
      </c>
      <c r="E39" s="11">
        <v>1</v>
      </c>
      <c r="F39" s="11">
        <v>3</v>
      </c>
      <c r="G39" s="31">
        <v>72</v>
      </c>
      <c r="H39" s="36">
        <f t="shared" si="0"/>
        <v>216</v>
      </c>
    </row>
    <row r="40" spans="1:8" ht="18" customHeight="1" x14ac:dyDescent="0.2">
      <c r="A40" s="49" t="s">
        <v>45</v>
      </c>
      <c r="B40" s="50"/>
      <c r="C40" s="14"/>
      <c r="D40" s="14"/>
      <c r="E40" s="11">
        <v>1</v>
      </c>
      <c r="F40" s="11">
        <v>1</v>
      </c>
      <c r="G40" s="31">
        <v>5000</v>
      </c>
      <c r="H40" s="36">
        <f t="shared" si="0"/>
        <v>5000</v>
      </c>
    </row>
    <row r="41" spans="1:8" x14ac:dyDescent="0.2">
      <c r="A41" s="49" t="s">
        <v>55</v>
      </c>
      <c r="B41" s="50"/>
      <c r="C41" s="14"/>
      <c r="D41" s="14" t="s">
        <v>56</v>
      </c>
      <c r="E41" s="11">
        <v>1</v>
      </c>
      <c r="F41" s="11">
        <v>1</v>
      </c>
      <c r="G41" s="31">
        <v>-3738</v>
      </c>
      <c r="H41" s="36">
        <f t="shared" si="0"/>
        <v>-3738</v>
      </c>
    </row>
    <row r="42" spans="1:8" x14ac:dyDescent="0.2">
      <c r="A42" s="17"/>
      <c r="B42" s="13"/>
      <c r="C42" s="14"/>
      <c r="D42" s="14"/>
      <c r="E42" s="11"/>
      <c r="F42" s="11"/>
      <c r="G42" s="31"/>
      <c r="H42" s="36"/>
    </row>
    <row r="43" spans="1:8" x14ac:dyDescent="0.2">
      <c r="A43" s="49" t="s">
        <v>47</v>
      </c>
      <c r="B43" s="50"/>
      <c r="C43" s="14"/>
      <c r="D43" s="14" t="s">
        <v>46</v>
      </c>
      <c r="E43" s="11">
        <v>28</v>
      </c>
      <c r="F43" s="11">
        <v>1</v>
      </c>
      <c r="G43" s="31">
        <v>-70</v>
      </c>
      <c r="H43" s="12">
        <f t="shared" si="0"/>
        <v>-1960</v>
      </c>
    </row>
    <row r="44" spans="1:8" x14ac:dyDescent="0.2">
      <c r="A44" s="17"/>
      <c r="B44" s="13"/>
      <c r="C44" s="14" t="s">
        <v>48</v>
      </c>
      <c r="D44" s="14" t="s">
        <v>46</v>
      </c>
      <c r="E44" s="11">
        <v>6</v>
      </c>
      <c r="F44" s="11">
        <v>1</v>
      </c>
      <c r="G44" s="31">
        <v>-150</v>
      </c>
      <c r="H44" s="12">
        <f t="shared" si="0"/>
        <v>-900</v>
      </c>
    </row>
    <row r="45" spans="1:8" x14ac:dyDescent="0.2">
      <c r="A45" s="17"/>
      <c r="B45" s="13"/>
      <c r="C45" s="14" t="s">
        <v>48</v>
      </c>
      <c r="D45" s="14"/>
      <c r="E45" s="11"/>
      <c r="F45" s="11"/>
      <c r="G45" s="31"/>
      <c r="H45" s="12">
        <f t="shared" si="0"/>
        <v>0</v>
      </c>
    </row>
    <row r="46" spans="1:8" ht="12" customHeight="1" x14ac:dyDescent="0.2">
      <c r="A46" s="1"/>
      <c r="B46" s="3"/>
      <c r="C46" s="14"/>
      <c r="D46" s="14"/>
      <c r="E46" s="11"/>
      <c r="F46" s="11"/>
      <c r="G46" s="31"/>
      <c r="H46" s="12"/>
    </row>
    <row r="47" spans="1:8" ht="16" thickBot="1" x14ac:dyDescent="0.25">
      <c r="A47" s="51"/>
      <c r="B47" s="52"/>
      <c r="C47" s="6"/>
      <c r="D47" s="6"/>
      <c r="E47" s="6"/>
      <c r="F47" s="6"/>
      <c r="G47" s="3"/>
      <c r="H47" s="3"/>
    </row>
    <row r="48" spans="1:8" ht="17" thickBot="1" x14ac:dyDescent="0.25">
      <c r="A48" s="1"/>
      <c r="B48" s="2"/>
      <c r="C48" s="2"/>
      <c r="D48" s="2"/>
      <c r="E48" s="2"/>
      <c r="F48" s="2"/>
      <c r="G48" s="32" t="s">
        <v>17</v>
      </c>
      <c r="H48" s="37">
        <f>SUM(H19:H47)</f>
        <v>9238</v>
      </c>
    </row>
    <row r="49" spans="1:8" x14ac:dyDescent="0.2">
      <c r="A49" s="53"/>
      <c r="B49" s="54"/>
      <c r="C49" s="54"/>
      <c r="D49" s="54"/>
      <c r="E49" s="54"/>
      <c r="F49" s="54"/>
      <c r="G49" s="54"/>
      <c r="H49" s="55"/>
    </row>
    <row r="50" spans="1:8" x14ac:dyDescent="0.2">
      <c r="A50" s="49" t="s">
        <v>18</v>
      </c>
      <c r="B50" s="42"/>
      <c r="C50" s="42"/>
      <c r="D50" s="42"/>
      <c r="E50" s="42"/>
      <c r="F50" s="42"/>
      <c r="G50" s="42"/>
      <c r="H50" s="50"/>
    </row>
    <row r="51" spans="1:8" ht="16" thickBot="1" x14ac:dyDescent="0.25">
      <c r="A51" s="49" t="s">
        <v>27</v>
      </c>
      <c r="B51" s="42"/>
      <c r="C51" s="42"/>
      <c r="D51" s="42"/>
      <c r="E51" s="42"/>
      <c r="F51" s="42"/>
      <c r="G51" s="42"/>
      <c r="H51" s="50"/>
    </row>
    <row r="52" spans="1:8" x14ac:dyDescent="0.2">
      <c r="A52" s="44" t="s">
        <v>28</v>
      </c>
      <c r="B52" s="45"/>
      <c r="C52" s="45"/>
      <c r="D52" s="45"/>
      <c r="E52" s="45"/>
      <c r="F52" s="45"/>
      <c r="G52" s="45"/>
      <c r="H52" s="46"/>
    </row>
    <row r="53" spans="1:8" x14ac:dyDescent="0.2">
      <c r="A53" s="41" t="s">
        <v>29</v>
      </c>
      <c r="B53" s="42"/>
      <c r="C53" s="42"/>
      <c r="D53" s="42"/>
      <c r="E53" s="42"/>
      <c r="F53" s="42"/>
      <c r="G53" s="42"/>
      <c r="H53" s="43"/>
    </row>
    <row r="54" spans="1:8" x14ac:dyDescent="0.2">
      <c r="A54" s="41" t="s">
        <v>30</v>
      </c>
      <c r="B54" s="42"/>
      <c r="C54" s="42"/>
      <c r="D54" s="42"/>
      <c r="E54" s="42"/>
      <c r="F54" s="42"/>
      <c r="G54" s="42"/>
      <c r="H54" s="43"/>
    </row>
    <row r="55" spans="1:8" x14ac:dyDescent="0.2">
      <c r="A55" s="41" t="s">
        <v>31</v>
      </c>
      <c r="B55" s="42"/>
      <c r="C55" s="42"/>
      <c r="D55" s="42"/>
      <c r="E55" s="42"/>
      <c r="F55" s="42"/>
      <c r="G55" s="42"/>
      <c r="H55" s="43"/>
    </row>
    <row r="56" spans="1:8" x14ac:dyDescent="0.2">
      <c r="A56" s="41" t="s">
        <v>32</v>
      </c>
      <c r="B56" s="42"/>
      <c r="C56" s="42"/>
      <c r="D56" s="42"/>
      <c r="E56" s="42"/>
      <c r="F56" s="42"/>
      <c r="G56" s="42"/>
      <c r="H56" s="43"/>
    </row>
    <row r="57" spans="1:8" ht="16" thickBot="1" x14ac:dyDescent="0.25">
      <c r="A57" s="38" t="s">
        <v>33</v>
      </c>
      <c r="B57" s="39"/>
      <c r="C57" s="39"/>
      <c r="D57" s="39"/>
      <c r="E57" s="39"/>
      <c r="F57" s="39"/>
      <c r="G57" s="39"/>
      <c r="H57" s="40"/>
    </row>
    <row r="58" spans="1:8" x14ac:dyDescent="0.2">
      <c r="A58" s="18"/>
      <c r="B58" s="19"/>
      <c r="C58" s="19"/>
      <c r="D58" s="19"/>
      <c r="E58" s="19"/>
      <c r="F58" s="19"/>
      <c r="G58" s="19"/>
      <c r="H58" s="20"/>
    </row>
  </sheetData>
  <mergeCells count="46">
    <mergeCell ref="B6:D6"/>
    <mergeCell ref="G6:H6"/>
    <mergeCell ref="A1:H1"/>
    <mergeCell ref="B4:D4"/>
    <mergeCell ref="G4:H4"/>
    <mergeCell ref="B5:D5"/>
    <mergeCell ref="G5:H5"/>
    <mergeCell ref="B7:D7"/>
    <mergeCell ref="G7:H7"/>
    <mergeCell ref="B8:D8"/>
    <mergeCell ref="G8:H8"/>
    <mergeCell ref="B9:D9"/>
    <mergeCell ref="G9:H9"/>
    <mergeCell ref="A20:B20"/>
    <mergeCell ref="B10:D10"/>
    <mergeCell ref="G10:H10"/>
    <mergeCell ref="C12:D12"/>
    <mergeCell ref="G12:H12"/>
    <mergeCell ref="C13:E13"/>
    <mergeCell ref="C14:H14"/>
    <mergeCell ref="A16:B16"/>
    <mergeCell ref="C16:D16"/>
    <mergeCell ref="A17:B17"/>
    <mergeCell ref="A18:B18"/>
    <mergeCell ref="A19:B19"/>
    <mergeCell ref="G13:H13"/>
    <mergeCell ref="A50:H50"/>
    <mergeCell ref="A51:H51"/>
    <mergeCell ref="A27:B27"/>
    <mergeCell ref="A28:B28"/>
    <mergeCell ref="A29:B29"/>
    <mergeCell ref="A34:B34"/>
    <mergeCell ref="A40:B40"/>
    <mergeCell ref="A41:B41"/>
    <mergeCell ref="A43:B43"/>
    <mergeCell ref="A22:B22"/>
    <mergeCell ref="A26:B26"/>
    <mergeCell ref="A33:B33"/>
    <mergeCell ref="A47:B47"/>
    <mergeCell ref="A49:H49"/>
    <mergeCell ref="A57:H57"/>
    <mergeCell ref="A54:H54"/>
    <mergeCell ref="A55:H55"/>
    <mergeCell ref="A56:H56"/>
    <mergeCell ref="A52:H52"/>
    <mergeCell ref="A53:H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Evren</dc:creator>
  <cp:lastModifiedBy>Derya Evren</cp:lastModifiedBy>
  <dcterms:created xsi:type="dcterms:W3CDTF">2026-03-11T14:50:18Z</dcterms:created>
  <dcterms:modified xsi:type="dcterms:W3CDTF">2026-05-12T18:59:26Z</dcterms:modified>
</cp:coreProperties>
</file>