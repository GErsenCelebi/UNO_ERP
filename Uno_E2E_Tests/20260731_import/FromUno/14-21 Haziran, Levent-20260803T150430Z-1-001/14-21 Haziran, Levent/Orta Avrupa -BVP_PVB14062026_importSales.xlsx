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TUĞRUL ŞENYURT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PINAR ŞENYURT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s="3" t="inlineStr">
        <is>
          <t>GÖKÇE ŞENYURT (CHD)</t>
        </is>
      </c>
      <c r="B7" s="4" t="inlineStr">
        <is>
          <t>☐</t>
        </is>
      </c>
      <c r="C7" s="4" t="inlineStr">
        <is>
          <t>☐</t>
        </is>
      </c>
      <c r="D7" s="4" t="inlineStr">
        <is>
          <t>☐</t>
        </is>
      </c>
      <c r="E7" s="4" t="inlineStr">
        <is>
          <t>☐</t>
        </is>
      </c>
      <c r="F7" s="4" t="inlineStr">
        <is>
          <t>☐</t>
        </is>
      </c>
      <c r="G7" s="4" t="inlineStr">
        <is>
          <t>☐</t>
        </is>
      </c>
      <c r="H7" s="4" t="inlineStr">
        <is>
          <t>☐</t>
        </is>
      </c>
      <c r="I7" s="4" t="inlineStr">
        <is>
          <t>☐</t>
        </is>
      </c>
      <c r="J7" s="4" t="inlineStr">
        <is>
          <t>☐</t>
        </is>
      </c>
      <c r="K7" s="4" t="inlineStr">
        <is>
          <t>☐</t>
        </is>
      </c>
      <c r="L7" s="4" t="inlineStr">
        <is>
          <t>☐</t>
        </is>
      </c>
      <c r="M7" s="4" t="inlineStr">
        <is>
          <t>☐</t>
        </is>
      </c>
      <c r="N7" s="4" t="inlineStr">
        <is>
          <t>☐</t>
        </is>
      </c>
      <c r="O7" s="4" t="inlineStr">
        <is>
          <t>☐</t>
        </is>
      </c>
      <c r="P7" s="4" t="inlineStr">
        <is>
          <t>☐</t>
        </is>
      </c>
    </row>
    <row r="8">
      <c r="A8" t="inlineStr">
        <is>
          <t>SAKİNE ÖZDEMİR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EMEL YÜKSEL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YÜKSEL ŞÜKÜR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HAVA ŞÜKÜR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YUSUF ÇOŞKUN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MERYEM ÇOŞKUN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s="3" t="inlineStr">
        <is>
          <t>HALİL BERK ÇOŞKUN (CHD)</t>
        </is>
      </c>
      <c r="B14" s="4" t="inlineStr">
        <is>
          <t>☐</t>
        </is>
      </c>
      <c r="C14" s="4" t="inlineStr">
        <is>
          <t>☐</t>
        </is>
      </c>
      <c r="D14" s="4" t="inlineStr">
        <is>
          <t>☐</t>
        </is>
      </c>
      <c r="E14" s="4" t="inlineStr">
        <is>
          <t>☐</t>
        </is>
      </c>
      <c r="F14" s="4" t="inlineStr">
        <is>
          <t>☐</t>
        </is>
      </c>
      <c r="G14" s="4" t="inlineStr">
        <is>
          <t>☐</t>
        </is>
      </c>
      <c r="H14" s="4" t="inlineStr">
        <is>
          <t>☐</t>
        </is>
      </c>
      <c r="I14" s="4" t="inlineStr">
        <is>
          <t>☐</t>
        </is>
      </c>
      <c r="J14" s="4" t="inlineStr">
        <is>
          <t>☐</t>
        </is>
      </c>
      <c r="K14" s="4" t="inlineStr">
        <is>
          <t>☐</t>
        </is>
      </c>
      <c r="L14" s="4" t="inlineStr">
        <is>
          <t>☐</t>
        </is>
      </c>
      <c r="M14" s="4" t="inlineStr">
        <is>
          <t>☐</t>
        </is>
      </c>
      <c r="N14" s="4" t="inlineStr">
        <is>
          <t>☐</t>
        </is>
      </c>
      <c r="O14" s="4" t="inlineStr">
        <is>
          <t>☐</t>
        </is>
      </c>
      <c r="P14" s="4" t="inlineStr">
        <is>
          <t>☐</t>
        </is>
      </c>
    </row>
    <row r="15">
      <c r="A15" t="inlineStr">
        <is>
          <t>AYFER KARLI  ILBAY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ZEYNEP LARA TEZGOREN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AYLA KARLI TEZGOREN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ADEM GULER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ZEHRA GULER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TUĞCAN BALTACI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ERHAN BALTACI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s="3" t="inlineStr">
        <is>
          <t>ELİZ BALTACI (CHD)</t>
        </is>
      </c>
      <c r="B22" s="4" t="inlineStr">
        <is>
          <t>☐</t>
        </is>
      </c>
      <c r="C22" s="4" t="inlineStr">
        <is>
          <t>☐</t>
        </is>
      </c>
      <c r="D22" s="4" t="inlineStr">
        <is>
          <t>☐</t>
        </is>
      </c>
      <c r="E22" s="4" t="inlineStr">
        <is>
          <t>☐</t>
        </is>
      </c>
      <c r="F22" s="4" t="inlineStr">
        <is>
          <t>☐</t>
        </is>
      </c>
      <c r="G22" s="4" t="inlineStr">
        <is>
          <t>☐</t>
        </is>
      </c>
      <c r="H22" s="4" t="inlineStr">
        <is>
          <t>☐</t>
        </is>
      </c>
      <c r="I22" s="4" t="inlineStr">
        <is>
          <t>☐</t>
        </is>
      </c>
      <c r="J22" s="4" t="inlineStr">
        <is>
          <t>☐</t>
        </is>
      </c>
      <c r="K22" s="4" t="inlineStr">
        <is>
          <t>☐</t>
        </is>
      </c>
      <c r="L22" s="4" t="inlineStr">
        <is>
          <t>☐</t>
        </is>
      </c>
      <c r="M22" s="4" t="inlineStr">
        <is>
          <t>☐</t>
        </is>
      </c>
      <c r="N22" s="4" t="inlineStr">
        <is>
          <t>☐</t>
        </is>
      </c>
      <c r="O22" s="4" t="inlineStr">
        <is>
          <t>☐</t>
        </is>
      </c>
      <c r="P22" s="4" t="inlineStr">
        <is>
          <t>☐</t>
        </is>
      </c>
    </row>
    <row r="23">
      <c r="A23" t="inlineStr">
        <is>
          <t>DEREN KOHEN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BERNA TÜZ KOHEN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ŞENYURT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SARI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ÖZDEMİR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YÜKSEL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ŞÜKÜR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ÇOŞKUN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KARLI ILBAY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TEZGOREN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KARLI TEZGOREN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GÜLOĞLU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GULER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BALTACI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KOHEN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TÜZ KOHEN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40">
      <c r="A40" s="1" t="inlineStr">
        <is>
          <t>Count</t>
        </is>
      </c>
      <c r="B40" s="5">
        <f>COUNTIF(B5:B38, "☑") + COUNTIF(B5:B38, TRUE)</f>
        <v/>
      </c>
      <c r="C40" s="5">
        <f>COUNTIF(C5:C38, "☑") + COUNTIF(C5:C38, TRUE)</f>
        <v/>
      </c>
      <c r="D40" s="5">
        <f>COUNTIF(D5:D38, "☑") + COUNTIF(D5:D38, TRUE)</f>
        <v/>
      </c>
      <c r="E40" s="5">
        <f>COUNTIF(E5:E38, "☑") + COUNTIF(E5:E38, TRUE)</f>
        <v/>
      </c>
      <c r="F40" s="5">
        <f>COUNTIF(F5:F38, "☑") + COUNTIF(F5:F38, TRUE)</f>
        <v/>
      </c>
      <c r="G40" s="5">
        <f>COUNTIF(G5:G38, "☑") + COUNTIF(G5:G38, TRUE)</f>
        <v/>
      </c>
      <c r="H40" s="5">
        <f>COUNTIF(H5:H38, "☑") + COUNTIF(H5:H38, TRUE)</f>
        <v/>
      </c>
      <c r="I40" s="5">
        <f>COUNTIF(I5:I38, "☑") + COUNTIF(I5:I38, TRUE)</f>
        <v/>
      </c>
      <c r="J40" s="5">
        <f>COUNTIF(J5:J38, "☑") + COUNTIF(J5:J38, TRUE)</f>
        <v/>
      </c>
      <c r="K40" s="5">
        <f>COUNTIF(K5:K38, "☑") + COUNTIF(K5:K38, TRUE)</f>
        <v/>
      </c>
      <c r="L40" s="5">
        <f>COUNTIF(L5:L38, "☑") + COUNTIF(L5:L38, TRUE)</f>
        <v/>
      </c>
      <c r="M40" s="5">
        <f>COUNTIF(M5:M38, "☑") + COUNTIF(M5:M38, TRUE)</f>
        <v/>
      </c>
      <c r="N40" s="5">
        <f>COUNTIF(N5:N38, "☑") + COUNTIF(N5:N38, TRUE)</f>
        <v/>
      </c>
      <c r="O40" s="5">
        <f>COUNTIF(O5:O38, "☑") + COUNTIF(O5:O38, TRUE)</f>
        <v/>
      </c>
      <c r="P40" s="5">
        <f>COUNTIF(P5:P38, "☑") + COUNTIF(P5:P38, TRUE)</f>
        <v/>
      </c>
    </row>
    <row r="41">
      <c r="A41" s="1" t="inlineStr">
        <is>
          <t>Total Amount</t>
        </is>
      </c>
      <c r="B41" s="5">
        <f>B40*B2</f>
        <v/>
      </c>
      <c r="C41" s="5">
        <f>C40*C2</f>
        <v/>
      </c>
      <c r="D41" s="5">
        <f>D40*D2</f>
        <v/>
      </c>
      <c r="E41" s="5">
        <f>E40*E2</f>
        <v/>
      </c>
      <c r="F41" s="5">
        <f>F40*F2</f>
        <v/>
      </c>
      <c r="G41" s="5">
        <f>G40*G2</f>
        <v/>
      </c>
      <c r="H41" s="5">
        <f>H40*H2</f>
        <v/>
      </c>
      <c r="I41" s="5">
        <f>I40*I2</f>
        <v/>
      </c>
      <c r="J41" s="5">
        <f>J40*J2</f>
        <v/>
      </c>
      <c r="K41" s="5">
        <f>K40*K2</f>
        <v/>
      </c>
      <c r="L41" s="5">
        <f>L40*L2</f>
        <v/>
      </c>
      <c r="M41" s="5">
        <f>M40*M2</f>
        <v/>
      </c>
      <c r="N41" s="5">
        <f>N40*N2</f>
        <v/>
      </c>
      <c r="O41" s="5">
        <f>O40*O2</f>
        <v/>
      </c>
      <c r="P41" s="5">
        <f>P40*P2</f>
        <v/>
      </c>
    </row>
  </sheetData>
  <dataValidations count="1">
    <dataValidation sqref="B5:P38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