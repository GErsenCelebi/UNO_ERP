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FromUno\3-10 Temmuz, Turgut\"/>
    </mc:Choice>
  </mc:AlternateContent>
  <xr:revisionPtr revIDLastSave="0" documentId="13_ncr:1_{AE8B2D1A-D27F-49C6-8565-D9D58A24805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ExcusionSales" sheetId="1" r:id="rId1"/>
    <sheet name="BaseServ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B42" i="1"/>
  <c r="B43" i="1" s="1"/>
  <c r="C42" i="1"/>
  <c r="C43" i="1" s="1"/>
  <c r="D42" i="1"/>
  <c r="D43" i="1" s="1"/>
  <c r="E42" i="1"/>
  <c r="E43" i="1" s="1"/>
  <c r="F42" i="1"/>
  <c r="F43" i="1" s="1"/>
  <c r="G42" i="1"/>
  <c r="G43" i="1" s="1"/>
  <c r="H42" i="1"/>
  <c r="H43" i="1" s="1"/>
  <c r="I42" i="1"/>
  <c r="I43" i="1" s="1"/>
  <c r="J42" i="1"/>
  <c r="J43" i="1" s="1"/>
  <c r="K42" i="1"/>
  <c r="K43" i="1" s="1"/>
  <c r="L42" i="1"/>
  <c r="L43" i="1" s="1"/>
  <c r="M42" i="1"/>
  <c r="M43" i="1" s="1"/>
  <c r="N42" i="1"/>
  <c r="N43" i="1" s="1"/>
  <c r="O42" i="1"/>
  <c r="O43" i="1" s="1"/>
  <c r="P42" i="1"/>
  <c r="P43" i="1" s="1"/>
  <c r="Q42" i="1"/>
  <c r="Q43" i="1" s="1"/>
  <c r="R42" i="1"/>
  <c r="R43" i="1" s="1"/>
  <c r="S42" i="1"/>
  <c r="S43" i="1" s="1"/>
  <c r="T42" i="1"/>
  <c r="T43" i="1" s="1"/>
  <c r="U42" i="1"/>
  <c r="U43" i="1" s="1"/>
  <c r="V42" i="1"/>
  <c r="V43" i="1" s="1"/>
  <c r="W42" i="1"/>
  <c r="W43" i="1" s="1"/>
  <c r="X42" i="1"/>
  <c r="X43" i="1" s="1"/>
  <c r="Y42" i="1"/>
  <c r="Y43" i="1" s="1"/>
  <c r="Z42" i="1"/>
  <c r="Z43" i="1" s="1"/>
  <c r="AA42" i="1"/>
  <c r="AA43" i="1" s="1"/>
  <c r="AB42" i="1"/>
  <c r="AB43" i="1" s="1"/>
  <c r="AC42" i="1"/>
  <c r="AC43" i="1" s="1"/>
  <c r="AD42" i="1"/>
  <c r="AD43" i="1" s="1"/>
  <c r="AE42" i="1"/>
  <c r="AE43" i="1" s="1"/>
  <c r="AF42" i="1"/>
  <c r="AF43" i="1" s="1"/>
  <c r="AG42" i="1"/>
  <c r="AG43" i="1" s="1"/>
  <c r="AH42" i="1"/>
  <c r="AH43" i="1" s="1"/>
</calcChain>
</file>

<file path=xl/sharedStrings.xml><?xml version="1.0" encoding="utf-8"?>
<sst xmlns="http://schemas.openxmlformats.org/spreadsheetml/2006/main" count="1319" uniqueCount="89">
  <si>
    <t>Dates</t>
  </si>
  <si>
    <t>Prices</t>
  </si>
  <si>
    <t>Code</t>
  </si>
  <si>
    <t>Passenger Name</t>
  </si>
  <si>
    <t/>
  </si>
  <si>
    <t>Museum Tour</t>
  </si>
  <si>
    <t>PRG-KV</t>
  </si>
  <si>
    <t>PRG-Folklor</t>
  </si>
  <si>
    <t>BDP-Boat</t>
  </si>
  <si>
    <t>VN-Hallstat</t>
  </si>
  <si>
    <t>BDP-VDP</t>
  </si>
  <si>
    <t>PRG-Castle</t>
  </si>
  <si>
    <t>PRG-Dresden</t>
  </si>
  <si>
    <t>PRG-Boat</t>
  </si>
  <si>
    <t>BDP-Estergom</t>
  </si>
  <si>
    <t>BDP-Brt</t>
  </si>
  <si>
    <t>VN-Concert</t>
  </si>
  <si>
    <t>VN-Gringsing</t>
  </si>
  <si>
    <t>VN-Concert65</t>
  </si>
  <si>
    <t>Kale Vary 60</t>
  </si>
  <si>
    <t>Aksam Paket 160</t>
  </si>
  <si>
    <t>Gunduz paket 295</t>
  </si>
  <si>
    <t>PRG-MedN</t>
  </si>
  <si>
    <t>PRG-Cruise60</t>
  </si>
  <si>
    <t>PromoNightPack</t>
  </si>
  <si>
    <t>PromoDayPack</t>
  </si>
  <si>
    <t>Çigan 65</t>
  </si>
  <si>
    <t>Tuna  35</t>
  </si>
  <si>
    <t>Kale Szent 65</t>
  </si>
  <si>
    <t>Bratisl. Dahil</t>
  </si>
  <si>
    <t>Outlet dahil</t>
  </si>
  <si>
    <t>Hallstatt 120</t>
  </si>
  <si>
    <t>Cesky dahil</t>
  </si>
  <si>
    <t>Ortcg 80</t>
  </si>
  <si>
    <t>Dresd. 80</t>
  </si>
  <si>
    <t>Vltava 60</t>
  </si>
  <si>
    <t>Cek Gec. 65</t>
  </si>
  <si>
    <t>İLKAY COKBEKLER</t>
  </si>
  <si>
    <t>☐</t>
  </si>
  <si>
    <t>ECE COKBEKLER (CHD)</t>
  </si>
  <si>
    <t>CAGLAR COKBEKLER</t>
  </si>
  <si>
    <t>MUSTAFA COKBEKLER (CHD)</t>
  </si>
  <si>
    <t>SANİYE ALTUĞ KELEŞ</t>
  </si>
  <si>
    <t>FATİH TUNA KELEŞ (CHD)</t>
  </si>
  <si>
    <t>Duygu Demir</t>
  </si>
  <si>
    <t>Mustafa Güler</t>
  </si>
  <si>
    <t>Sembol Güler</t>
  </si>
  <si>
    <t>Bade Güler (CHD)</t>
  </si>
  <si>
    <t>Onur Çakır</t>
  </si>
  <si>
    <t>Mercan Pınar Çakır</t>
  </si>
  <si>
    <t>İpek Çakır (CHD)</t>
  </si>
  <si>
    <t>Sunay Metin</t>
  </si>
  <si>
    <t>Osman Metin</t>
  </si>
  <si>
    <t>HASAN ÖZÇAY</t>
  </si>
  <si>
    <t>SERPİL ÖZÇAY</t>
  </si>
  <si>
    <t>Sema Özbek edisan</t>
  </si>
  <si>
    <t>MUSTAFA EDİSAN</t>
  </si>
  <si>
    <t>ASYA EDİSAN (CHD)</t>
  </si>
  <si>
    <t>SEVİL YILMAN</t>
  </si>
  <si>
    <t>BELİNAY YILMAN (CHD)</t>
  </si>
  <si>
    <t>MEHMET YILMAN</t>
  </si>
  <si>
    <t>SİMAY YILMAN (CHD)</t>
  </si>
  <si>
    <t>NEDIM YURTSEVEN</t>
  </si>
  <si>
    <t>NAZAN YURTSEVEN</t>
  </si>
  <si>
    <t>ZERRİN KEMİKSİZOĞLU</t>
  </si>
  <si>
    <t>TARIK KEMİKSİZOĞLU (CHD)</t>
  </si>
  <si>
    <t>SERKAN KEMİKSİZOĞLU</t>
  </si>
  <si>
    <t>MESUT UZ</t>
  </si>
  <si>
    <t>ECE UZ (CHD)</t>
  </si>
  <si>
    <t>KEZBAN UZ</t>
  </si>
  <si>
    <t>EDA UZ (CHD)</t>
  </si>
  <si>
    <t>HÜLYA OTAN</t>
  </si>
  <si>
    <t>HAYRİYE TOKMAKKAYA</t>
  </si>
  <si>
    <t>EMİNEYİ MEMNUNE YAĞAR</t>
  </si>
  <si>
    <t>Count</t>
  </si>
  <si>
    <t>Total Amount</t>
  </si>
  <si>
    <t>Base Service</t>
  </si>
  <si>
    <t>Revenue</t>
  </si>
  <si>
    <t>Expense</t>
  </si>
  <si>
    <t>Other</t>
  </si>
  <si>
    <t>per/Pax</t>
  </si>
  <si>
    <t>UnitPrice</t>
  </si>
  <si>
    <t>Adult</t>
  </si>
  <si>
    <t>Children</t>
  </si>
  <si>
    <t>Infant</t>
  </si>
  <si>
    <t>Total</t>
  </si>
  <si>
    <t>Agency Fee</t>
  </si>
  <si>
    <t>CityTax</t>
  </si>
  <si>
    <t>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</si>
</sst>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3"/>
  <sheetViews>
    <sheetView tabSelected="1" topLeftCell="D1" workbookViewId="0">
      <selection activeCell="R9" sqref="R9"/>
    </sheetView>
  </sheetViews>
  <sheetFormatPr defaultRowHeight="14.6" x14ac:dyDescent="0.4"/>
  <cols>
    <col min="1" max="1" width="26.3046875" customWidth="1"/>
    <col min="2" max="2" width="13.69140625" customWidth="1"/>
    <col min="3" max="3" width="7.69140625" customWidth="1"/>
    <col min="4" max="4" width="11.3046875" customWidth="1"/>
    <col min="5" max="5" width="9.3828125" customWidth="1"/>
    <col min="6" max="6" width="10.69140625" customWidth="1"/>
    <col min="7" max="7" width="9" customWidth="1"/>
    <col min="8" max="8" width="10.53515625" customWidth="1"/>
    <col min="9" max="9" width="12.84375" customWidth="1"/>
    <col min="10" max="10" width="9.3828125" customWidth="1"/>
    <col min="11" max="11" width="13.84375" customWidth="1"/>
    <col min="12" max="12" width="8" customWidth="1"/>
    <col min="13" max="13" width="11" customWidth="1"/>
    <col min="14" max="14" width="12.53515625" customWidth="1"/>
    <col min="15" max="15" width="13.3046875" customWidth="1"/>
    <col min="16" max="16" width="11.53515625" customWidth="1"/>
    <col min="17" max="17" width="9.3828125" customWidth="1"/>
    <col min="18" max="18" width="16" customWidth="1"/>
    <col min="19" max="19" width="17" customWidth="1"/>
    <col min="20" max="20" width="10.69140625" customWidth="1"/>
    <col min="21" max="21" width="13" customWidth="1"/>
    <col min="22" max="22" width="16" customWidth="1"/>
    <col min="23" max="23" width="14.69140625" customWidth="1"/>
    <col min="24" max="25" width="8.3828125" customWidth="1"/>
    <col min="26" max="26" width="12.69140625" customWidth="1"/>
    <col min="27" max="27" width="11.84375" customWidth="1"/>
    <col min="28" max="28" width="11.3046875" customWidth="1"/>
    <col min="29" max="29" width="11.84375" customWidth="1"/>
    <col min="30" max="30" width="10.84375" customWidth="1"/>
    <col min="31" max="31" width="8.3828125" customWidth="1"/>
    <col min="32" max="32" width="9.3046875" customWidth="1"/>
    <col min="33" max="33" width="9" customWidth="1"/>
    <col min="34" max="34" width="11" customWidth="1"/>
  </cols>
  <sheetData>
    <row r="1" spans="1:34" s="1" customFormat="1" x14ac:dyDescent="0.4">
      <c r="A1" s="1" t="s">
        <v>0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4</v>
      </c>
      <c r="P1" s="1" t="s">
        <v>4</v>
      </c>
      <c r="Q1" s="1" t="s">
        <v>4</v>
      </c>
      <c r="R1" s="1" t="s">
        <v>4</v>
      </c>
      <c r="S1" s="1" t="s">
        <v>4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</row>
    <row r="2" spans="1:34" s="1" customFormat="1" x14ac:dyDescent="0.4">
      <c r="A2" s="1" t="s">
        <v>1</v>
      </c>
      <c r="B2" s="1">
        <v>75</v>
      </c>
      <c r="C2" s="1">
        <v>65</v>
      </c>
      <c r="D2" s="1">
        <v>65</v>
      </c>
      <c r="E2" s="1">
        <v>40</v>
      </c>
      <c r="F2" s="1">
        <v>100</v>
      </c>
      <c r="G2" s="1">
        <v>70</v>
      </c>
      <c r="H2" s="1">
        <v>40</v>
      </c>
      <c r="I2" s="1">
        <v>80</v>
      </c>
      <c r="J2" s="1">
        <v>50</v>
      </c>
      <c r="K2" s="1">
        <v>60</v>
      </c>
      <c r="L2" s="1">
        <v>40</v>
      </c>
      <c r="M2" s="1">
        <v>30</v>
      </c>
      <c r="N2" s="1">
        <v>65</v>
      </c>
      <c r="O2" s="1">
        <v>65</v>
      </c>
      <c r="P2" s="1">
        <v>60</v>
      </c>
      <c r="Q2" s="1">
        <v>60</v>
      </c>
      <c r="R2" s="1">
        <v>160</v>
      </c>
      <c r="S2" s="1">
        <v>295</v>
      </c>
      <c r="T2" s="1">
        <v>80</v>
      </c>
      <c r="U2" s="1">
        <v>60</v>
      </c>
      <c r="V2" s="1">
        <v>90</v>
      </c>
      <c r="W2" s="1">
        <v>290</v>
      </c>
      <c r="X2" s="1">
        <v>65</v>
      </c>
      <c r="Y2" s="1">
        <v>35</v>
      </c>
      <c r="Z2" s="1">
        <v>65</v>
      </c>
      <c r="AA2" s="1" t="s">
        <v>4</v>
      </c>
      <c r="AB2" s="1" t="s">
        <v>4</v>
      </c>
      <c r="AC2" s="1">
        <v>120</v>
      </c>
      <c r="AD2" s="1" t="s">
        <v>4</v>
      </c>
      <c r="AE2" s="1">
        <v>80</v>
      </c>
      <c r="AF2" s="1">
        <v>80</v>
      </c>
      <c r="AG2" s="1">
        <v>60</v>
      </c>
      <c r="AH2" s="1">
        <v>65</v>
      </c>
    </row>
    <row r="3" spans="1:34" s="1" customFormat="1" x14ac:dyDescent="0.4">
      <c r="A3" s="1" t="s">
        <v>2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13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35</v>
      </c>
      <c r="AH3" s="1" t="s">
        <v>36</v>
      </c>
    </row>
    <row r="4" spans="1:34" s="1" customFormat="1" x14ac:dyDescent="0.4">
      <c r="A4" s="1" t="s">
        <v>3</v>
      </c>
    </row>
    <row r="5" spans="1:34" x14ac:dyDescent="0.4">
      <c r="A5" t="s">
        <v>37</v>
      </c>
      <c r="B5" s="2" t="s">
        <v>38</v>
      </c>
      <c r="C5" s="2" t="s">
        <v>38</v>
      </c>
      <c r="D5" s="2" t="s">
        <v>38</v>
      </c>
      <c r="E5" s="2" t="s">
        <v>38</v>
      </c>
      <c r="F5" s="2" t="s">
        <v>38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38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38</v>
      </c>
      <c r="Z5" s="2" t="s">
        <v>38</v>
      </c>
      <c r="AA5" s="2" t="s">
        <v>38</v>
      </c>
      <c r="AB5" s="2" t="s">
        <v>38</v>
      </c>
      <c r="AC5" s="2" t="s">
        <v>38</v>
      </c>
      <c r="AD5" s="2" t="s">
        <v>38</v>
      </c>
      <c r="AE5" s="2" t="s">
        <v>38</v>
      </c>
      <c r="AF5" s="2" t="s">
        <v>38</v>
      </c>
      <c r="AG5" s="2" t="s">
        <v>38</v>
      </c>
      <c r="AH5" s="2" t="s">
        <v>38</v>
      </c>
    </row>
    <row r="6" spans="1:34" x14ac:dyDescent="0.4">
      <c r="A6" s="3" t="s">
        <v>39</v>
      </c>
      <c r="B6" s="4" t="s">
        <v>38</v>
      </c>
      <c r="C6" s="4" t="s">
        <v>38</v>
      </c>
      <c r="D6" s="4" t="s">
        <v>38</v>
      </c>
      <c r="E6" s="4" t="s">
        <v>38</v>
      </c>
      <c r="F6" s="4" t="s">
        <v>38</v>
      </c>
      <c r="G6" s="4" t="s">
        <v>38</v>
      </c>
      <c r="H6" s="4" t="s">
        <v>38</v>
      </c>
      <c r="I6" s="4" t="s">
        <v>38</v>
      </c>
      <c r="J6" s="4" t="s">
        <v>38</v>
      </c>
      <c r="K6" s="4" t="s">
        <v>38</v>
      </c>
      <c r="L6" s="4" t="s">
        <v>38</v>
      </c>
      <c r="M6" s="4" t="s">
        <v>38</v>
      </c>
      <c r="N6" s="4" t="s">
        <v>38</v>
      </c>
      <c r="O6" s="4" t="s">
        <v>38</v>
      </c>
      <c r="P6" s="4" t="s">
        <v>38</v>
      </c>
      <c r="Q6" s="4" t="s">
        <v>38</v>
      </c>
      <c r="R6" s="4" t="s">
        <v>38</v>
      </c>
      <c r="S6" s="4" t="s">
        <v>38</v>
      </c>
      <c r="T6" s="4" t="s">
        <v>38</v>
      </c>
      <c r="U6" s="4" t="s">
        <v>38</v>
      </c>
      <c r="V6" s="4" t="s">
        <v>38</v>
      </c>
      <c r="W6" s="4" t="s">
        <v>38</v>
      </c>
      <c r="X6" s="4" t="s">
        <v>38</v>
      </c>
      <c r="Y6" s="4" t="s">
        <v>38</v>
      </c>
      <c r="Z6" s="4" t="s">
        <v>38</v>
      </c>
      <c r="AA6" s="4" t="s">
        <v>38</v>
      </c>
      <c r="AB6" s="4" t="s">
        <v>38</v>
      </c>
      <c r="AC6" s="4" t="s">
        <v>38</v>
      </c>
      <c r="AD6" s="4" t="s">
        <v>38</v>
      </c>
      <c r="AE6" s="4" t="s">
        <v>38</v>
      </c>
      <c r="AF6" s="4" t="s">
        <v>38</v>
      </c>
      <c r="AG6" s="4" t="s">
        <v>38</v>
      </c>
      <c r="AH6" s="4" t="s">
        <v>38</v>
      </c>
    </row>
    <row r="7" spans="1:34" x14ac:dyDescent="0.4">
      <c r="A7" t="s">
        <v>40</v>
      </c>
      <c r="B7" s="2" t="s">
        <v>38</v>
      </c>
      <c r="C7" s="2" t="s">
        <v>38</v>
      </c>
      <c r="D7" s="2" t="s">
        <v>38</v>
      </c>
      <c r="E7" s="2" t="s">
        <v>38</v>
      </c>
      <c r="F7" s="2" t="s">
        <v>38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38</v>
      </c>
      <c r="P7" s="2" t="s">
        <v>38</v>
      </c>
      <c r="Q7" s="2" t="s">
        <v>38</v>
      </c>
      <c r="R7" s="2" t="s">
        <v>38</v>
      </c>
      <c r="S7" s="2" t="s">
        <v>38</v>
      </c>
      <c r="T7" s="2" t="s">
        <v>38</v>
      </c>
      <c r="U7" s="2" t="s">
        <v>38</v>
      </c>
      <c r="V7" s="2" t="s">
        <v>38</v>
      </c>
      <c r="W7" s="2" t="s">
        <v>38</v>
      </c>
      <c r="X7" s="2" t="s">
        <v>38</v>
      </c>
      <c r="Y7" s="2" t="s">
        <v>38</v>
      </c>
      <c r="Z7" s="2" t="s">
        <v>38</v>
      </c>
      <c r="AA7" s="2" t="s">
        <v>38</v>
      </c>
      <c r="AB7" s="2" t="s">
        <v>38</v>
      </c>
      <c r="AC7" s="2" t="s">
        <v>38</v>
      </c>
      <c r="AD7" s="2" t="s">
        <v>38</v>
      </c>
      <c r="AE7" s="2" t="s">
        <v>38</v>
      </c>
      <c r="AF7" s="2" t="s">
        <v>38</v>
      </c>
      <c r="AG7" s="2" t="s">
        <v>38</v>
      </c>
      <c r="AH7" s="2" t="s">
        <v>38</v>
      </c>
    </row>
    <row r="8" spans="1:34" x14ac:dyDescent="0.4">
      <c r="A8" s="3" t="s">
        <v>41</v>
      </c>
      <c r="B8" s="4" t="s">
        <v>38</v>
      </c>
      <c r="C8" s="4" t="s">
        <v>38</v>
      </c>
      <c r="D8" s="4" t="s">
        <v>38</v>
      </c>
      <c r="E8" s="4" t="s">
        <v>38</v>
      </c>
      <c r="F8" s="4" t="s">
        <v>38</v>
      </c>
      <c r="G8" s="4" t="s">
        <v>38</v>
      </c>
      <c r="H8" s="4" t="s">
        <v>38</v>
      </c>
      <c r="I8" s="4" t="s">
        <v>38</v>
      </c>
      <c r="J8" s="4" t="s">
        <v>38</v>
      </c>
      <c r="K8" s="4" t="s">
        <v>38</v>
      </c>
      <c r="L8" s="4" t="s">
        <v>38</v>
      </c>
      <c r="M8" s="4" t="s">
        <v>38</v>
      </c>
      <c r="N8" s="4" t="s">
        <v>38</v>
      </c>
      <c r="O8" s="4" t="s">
        <v>38</v>
      </c>
      <c r="P8" s="4" t="s">
        <v>38</v>
      </c>
      <c r="Q8" s="4" t="s">
        <v>38</v>
      </c>
      <c r="R8" s="4" t="s">
        <v>38</v>
      </c>
      <c r="S8" s="4" t="s">
        <v>38</v>
      </c>
      <c r="T8" s="4" t="s">
        <v>38</v>
      </c>
      <c r="U8" s="4" t="s">
        <v>38</v>
      </c>
      <c r="V8" s="4" t="s">
        <v>38</v>
      </c>
      <c r="W8" s="4" t="s">
        <v>38</v>
      </c>
      <c r="X8" s="4" t="s">
        <v>38</v>
      </c>
      <c r="Y8" s="4" t="s">
        <v>38</v>
      </c>
      <c r="Z8" s="4" t="s">
        <v>38</v>
      </c>
      <c r="AA8" s="4" t="s">
        <v>38</v>
      </c>
      <c r="AB8" s="4" t="s">
        <v>38</v>
      </c>
      <c r="AC8" s="4" t="s">
        <v>38</v>
      </c>
      <c r="AD8" s="4" t="s">
        <v>38</v>
      </c>
      <c r="AE8" s="4" t="s">
        <v>38</v>
      </c>
      <c r="AF8" s="4" t="s">
        <v>38</v>
      </c>
      <c r="AG8" s="4" t="s">
        <v>38</v>
      </c>
      <c r="AH8" s="4" t="s">
        <v>38</v>
      </c>
    </row>
    <row r="9" spans="1:34" x14ac:dyDescent="0.4">
      <c r="A9" t="s">
        <v>42</v>
      </c>
      <c r="B9" s="2" t="s">
        <v>38</v>
      </c>
      <c r="C9" s="2" t="s">
        <v>38</v>
      </c>
      <c r="D9" s="2" t="s">
        <v>38</v>
      </c>
      <c r="E9" s="2" t="s">
        <v>38</v>
      </c>
      <c r="F9" s="2" t="s">
        <v>38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38</v>
      </c>
      <c r="S9" s="2" t="s">
        <v>38</v>
      </c>
      <c r="T9" s="2" t="s">
        <v>38</v>
      </c>
      <c r="U9" s="2" t="s">
        <v>38</v>
      </c>
      <c r="V9" s="2" t="s">
        <v>38</v>
      </c>
      <c r="W9" s="2" t="s">
        <v>38</v>
      </c>
      <c r="X9" s="2" t="s">
        <v>38</v>
      </c>
      <c r="Y9" s="2" t="s">
        <v>38</v>
      </c>
      <c r="Z9" s="2" t="s">
        <v>38</v>
      </c>
      <c r="AA9" s="2" t="s">
        <v>38</v>
      </c>
      <c r="AB9" s="2" t="s">
        <v>38</v>
      </c>
      <c r="AC9" s="2" t="s">
        <v>38</v>
      </c>
      <c r="AD9" s="2" t="s">
        <v>38</v>
      </c>
      <c r="AE9" s="2" t="s">
        <v>38</v>
      </c>
      <c r="AF9" s="2" t="s">
        <v>38</v>
      </c>
      <c r="AG9" s="2" t="s">
        <v>38</v>
      </c>
      <c r="AH9" s="2" t="s">
        <v>38</v>
      </c>
    </row>
    <row r="10" spans="1:34" x14ac:dyDescent="0.4">
      <c r="A10" s="3" t="s">
        <v>43</v>
      </c>
      <c r="B10" s="4" t="s">
        <v>38</v>
      </c>
      <c r="C10" s="4" t="s">
        <v>38</v>
      </c>
      <c r="D10" s="4" t="s">
        <v>38</v>
      </c>
      <c r="E10" s="4" t="s">
        <v>38</v>
      </c>
      <c r="F10" s="4" t="s">
        <v>38</v>
      </c>
      <c r="G10" s="4" t="s">
        <v>38</v>
      </c>
      <c r="H10" s="4" t="s">
        <v>38</v>
      </c>
      <c r="I10" s="4" t="s">
        <v>38</v>
      </c>
      <c r="J10" s="4" t="s">
        <v>38</v>
      </c>
      <c r="K10" s="4" t="s">
        <v>38</v>
      </c>
      <c r="L10" s="4" t="s">
        <v>38</v>
      </c>
      <c r="M10" s="4" t="s">
        <v>38</v>
      </c>
      <c r="N10" s="4" t="s">
        <v>38</v>
      </c>
      <c r="O10" s="4" t="s">
        <v>38</v>
      </c>
      <c r="P10" s="4" t="s">
        <v>38</v>
      </c>
      <c r="Q10" s="4" t="s">
        <v>38</v>
      </c>
      <c r="R10" s="4" t="s">
        <v>38</v>
      </c>
      <c r="S10" s="4" t="s">
        <v>38</v>
      </c>
      <c r="T10" s="4" t="s">
        <v>38</v>
      </c>
      <c r="U10" s="4" t="s">
        <v>38</v>
      </c>
      <c r="V10" s="4" t="s">
        <v>38</v>
      </c>
      <c r="W10" s="4" t="s">
        <v>38</v>
      </c>
      <c r="X10" s="4" t="s">
        <v>38</v>
      </c>
      <c r="Y10" s="4" t="s">
        <v>38</v>
      </c>
      <c r="Z10" s="4" t="s">
        <v>38</v>
      </c>
      <c r="AA10" s="4" t="s">
        <v>38</v>
      </c>
      <c r="AB10" s="4" t="s">
        <v>38</v>
      </c>
      <c r="AC10" s="4" t="s">
        <v>38</v>
      </c>
      <c r="AD10" s="4" t="s">
        <v>38</v>
      </c>
      <c r="AE10" s="4" t="s">
        <v>38</v>
      </c>
      <c r="AF10" s="4" t="s">
        <v>38</v>
      </c>
      <c r="AG10" s="4" t="s">
        <v>38</v>
      </c>
      <c r="AH10" s="4" t="s">
        <v>38</v>
      </c>
    </row>
    <row r="11" spans="1:34" x14ac:dyDescent="0.4">
      <c r="A11" t="s">
        <v>44</v>
      </c>
      <c r="B11" s="2" t="s">
        <v>38</v>
      </c>
      <c r="C11" s="2" t="s">
        <v>38</v>
      </c>
      <c r="D11" s="2" t="s">
        <v>38</v>
      </c>
      <c r="E11" s="2" t="s">
        <v>38</v>
      </c>
      <c r="F11" s="2" t="s">
        <v>38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88</v>
      </c>
      <c r="S11" s="2" t="s">
        <v>88</v>
      </c>
      <c r="T11" s="2" t="s">
        <v>38</v>
      </c>
      <c r="U11" s="2" t="s">
        <v>38</v>
      </c>
      <c r="V11" s="2" t="s">
        <v>38</v>
      </c>
      <c r="W11" s="2" t="s">
        <v>38</v>
      </c>
      <c r="X11" s="2" t="s">
        <v>38</v>
      </c>
      <c r="Y11" s="2" t="s">
        <v>38</v>
      </c>
      <c r="Z11" s="2" t="s">
        <v>38</v>
      </c>
      <c r="AA11" s="2" t="s">
        <v>38</v>
      </c>
      <c r="AB11" s="2" t="s">
        <v>38</v>
      </c>
      <c r="AC11" s="2" t="s">
        <v>38</v>
      </c>
      <c r="AD11" s="2" t="s">
        <v>38</v>
      </c>
      <c r="AE11" s="2" t="s">
        <v>38</v>
      </c>
      <c r="AF11" s="2" t="s">
        <v>38</v>
      </c>
      <c r="AG11" s="2" t="s">
        <v>38</v>
      </c>
      <c r="AH11" s="2" t="s">
        <v>38</v>
      </c>
    </row>
    <row r="12" spans="1:34" x14ac:dyDescent="0.4">
      <c r="A12" t="s">
        <v>45</v>
      </c>
      <c r="B12" s="2" t="s">
        <v>38</v>
      </c>
      <c r="C12" s="2" t="s">
        <v>38</v>
      </c>
      <c r="D12" s="2" t="s">
        <v>38</v>
      </c>
      <c r="E12" s="2" t="s">
        <v>38</v>
      </c>
      <c r="F12" s="2" t="s">
        <v>38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38</v>
      </c>
      <c r="P12" s="2" t="s">
        <v>38</v>
      </c>
      <c r="Q12" s="2" t="s">
        <v>38</v>
      </c>
      <c r="R12" s="2" t="s">
        <v>38</v>
      </c>
      <c r="S12" s="2" t="s">
        <v>38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38</v>
      </c>
      <c r="Z12" s="2" t="s">
        <v>38</v>
      </c>
      <c r="AA12" s="2" t="s">
        <v>38</v>
      </c>
      <c r="AB12" s="2" t="s">
        <v>38</v>
      </c>
      <c r="AC12" s="2" t="s">
        <v>38</v>
      </c>
      <c r="AD12" s="2" t="s">
        <v>38</v>
      </c>
      <c r="AE12" s="2" t="s">
        <v>38</v>
      </c>
      <c r="AF12" s="2" t="s">
        <v>38</v>
      </c>
      <c r="AG12" s="2" t="s">
        <v>38</v>
      </c>
      <c r="AH12" s="2" t="s">
        <v>38</v>
      </c>
    </row>
    <row r="13" spans="1:34" x14ac:dyDescent="0.4">
      <c r="A13" t="s">
        <v>46</v>
      </c>
      <c r="B13" s="2" t="s">
        <v>38</v>
      </c>
      <c r="C13" s="2" t="s">
        <v>38</v>
      </c>
      <c r="D13" s="2" t="s">
        <v>38</v>
      </c>
      <c r="E13" s="2" t="s">
        <v>38</v>
      </c>
      <c r="F13" s="2" t="s">
        <v>38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38</v>
      </c>
      <c r="P13" s="2" t="s">
        <v>38</v>
      </c>
      <c r="Q13" s="2" t="s">
        <v>38</v>
      </c>
      <c r="R13" s="2" t="s">
        <v>38</v>
      </c>
      <c r="S13" s="2" t="s">
        <v>38</v>
      </c>
      <c r="T13" s="2" t="s">
        <v>38</v>
      </c>
      <c r="U13" s="2" t="s">
        <v>38</v>
      </c>
      <c r="V13" s="2" t="s">
        <v>38</v>
      </c>
      <c r="W13" s="2" t="s">
        <v>38</v>
      </c>
      <c r="X13" s="2" t="s">
        <v>38</v>
      </c>
      <c r="Y13" s="2" t="s">
        <v>38</v>
      </c>
      <c r="Z13" s="2" t="s">
        <v>38</v>
      </c>
      <c r="AA13" s="2" t="s">
        <v>38</v>
      </c>
      <c r="AB13" s="2" t="s">
        <v>38</v>
      </c>
      <c r="AC13" s="2" t="s">
        <v>38</v>
      </c>
      <c r="AD13" s="2" t="s">
        <v>38</v>
      </c>
      <c r="AE13" s="2" t="s">
        <v>38</v>
      </c>
      <c r="AF13" s="2" t="s">
        <v>38</v>
      </c>
      <c r="AG13" s="2" t="s">
        <v>38</v>
      </c>
      <c r="AH13" s="2" t="s">
        <v>38</v>
      </c>
    </row>
    <row r="14" spans="1:34" x14ac:dyDescent="0.4">
      <c r="A14" s="3" t="s">
        <v>47</v>
      </c>
      <c r="B14" s="4" t="s">
        <v>38</v>
      </c>
      <c r="C14" s="4" t="s">
        <v>38</v>
      </c>
      <c r="D14" s="4" t="s">
        <v>38</v>
      </c>
      <c r="E14" s="4" t="s">
        <v>38</v>
      </c>
      <c r="F14" s="4" t="s">
        <v>38</v>
      </c>
      <c r="G14" s="4" t="s">
        <v>38</v>
      </c>
      <c r="H14" s="4" t="s">
        <v>38</v>
      </c>
      <c r="I14" s="4" t="s">
        <v>38</v>
      </c>
      <c r="J14" s="4" t="s">
        <v>38</v>
      </c>
      <c r="K14" s="4" t="s">
        <v>38</v>
      </c>
      <c r="L14" s="4" t="s">
        <v>38</v>
      </c>
      <c r="M14" s="4" t="s">
        <v>38</v>
      </c>
      <c r="N14" s="4" t="s">
        <v>38</v>
      </c>
      <c r="O14" s="4" t="s">
        <v>38</v>
      </c>
      <c r="P14" s="4" t="s">
        <v>38</v>
      </c>
      <c r="Q14" s="4" t="s">
        <v>38</v>
      </c>
      <c r="R14" s="4" t="s">
        <v>38</v>
      </c>
      <c r="S14" s="4" t="s">
        <v>38</v>
      </c>
      <c r="T14" s="4" t="s">
        <v>38</v>
      </c>
      <c r="U14" s="4" t="s">
        <v>38</v>
      </c>
      <c r="V14" s="4" t="s">
        <v>38</v>
      </c>
      <c r="W14" s="4" t="s">
        <v>38</v>
      </c>
      <c r="X14" s="4" t="s">
        <v>38</v>
      </c>
      <c r="Y14" s="4" t="s">
        <v>38</v>
      </c>
      <c r="Z14" s="4" t="s">
        <v>38</v>
      </c>
      <c r="AA14" s="4" t="s">
        <v>38</v>
      </c>
      <c r="AB14" s="4" t="s">
        <v>38</v>
      </c>
      <c r="AC14" s="4" t="s">
        <v>38</v>
      </c>
      <c r="AD14" s="4" t="s">
        <v>38</v>
      </c>
      <c r="AE14" s="4" t="s">
        <v>38</v>
      </c>
      <c r="AF14" s="4" t="s">
        <v>38</v>
      </c>
      <c r="AG14" s="4" t="s">
        <v>38</v>
      </c>
      <c r="AH14" s="4" t="s">
        <v>38</v>
      </c>
    </row>
    <row r="15" spans="1:34" x14ac:dyDescent="0.4">
      <c r="A15" t="s">
        <v>48</v>
      </c>
      <c r="B15" s="2" t="s">
        <v>38</v>
      </c>
      <c r="C15" s="2" t="s">
        <v>38</v>
      </c>
      <c r="D15" s="2" t="s">
        <v>38</v>
      </c>
      <c r="E15" s="2" t="s">
        <v>38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38</v>
      </c>
      <c r="P15" s="2" t="s">
        <v>38</v>
      </c>
      <c r="Q15" s="2" t="s">
        <v>38</v>
      </c>
      <c r="R15" s="2" t="s">
        <v>38</v>
      </c>
      <c r="S15" s="2" t="s">
        <v>38</v>
      </c>
      <c r="T15" s="2" t="s">
        <v>38</v>
      </c>
      <c r="U15" s="2" t="s">
        <v>38</v>
      </c>
      <c r="V15" s="2" t="s">
        <v>38</v>
      </c>
      <c r="W15" s="2" t="s">
        <v>38</v>
      </c>
      <c r="X15" s="2" t="s">
        <v>38</v>
      </c>
      <c r="Y15" s="2" t="s">
        <v>38</v>
      </c>
      <c r="Z15" s="2" t="s">
        <v>38</v>
      </c>
      <c r="AA15" s="2" t="s">
        <v>38</v>
      </c>
      <c r="AB15" s="2" t="s">
        <v>38</v>
      </c>
      <c r="AC15" s="2" t="s">
        <v>38</v>
      </c>
      <c r="AD15" s="2" t="s">
        <v>38</v>
      </c>
      <c r="AE15" s="2" t="s">
        <v>38</v>
      </c>
      <c r="AF15" s="2" t="s">
        <v>38</v>
      </c>
      <c r="AG15" s="2" t="s">
        <v>38</v>
      </c>
      <c r="AH15" s="2" t="s">
        <v>38</v>
      </c>
    </row>
    <row r="16" spans="1:34" x14ac:dyDescent="0.4">
      <c r="A16" t="s">
        <v>49</v>
      </c>
      <c r="B16" s="2" t="s">
        <v>38</v>
      </c>
      <c r="C16" s="2" t="s">
        <v>38</v>
      </c>
      <c r="D16" s="2" t="s">
        <v>38</v>
      </c>
      <c r="E16" s="2" t="s">
        <v>38</v>
      </c>
      <c r="F16" s="2" t="s">
        <v>38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38</v>
      </c>
      <c r="S16" s="2" t="s">
        <v>38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38</v>
      </c>
      <c r="Y16" s="2" t="s">
        <v>38</v>
      </c>
      <c r="Z16" s="2" t="s">
        <v>38</v>
      </c>
      <c r="AA16" s="2" t="s">
        <v>38</v>
      </c>
      <c r="AB16" s="2" t="s">
        <v>38</v>
      </c>
      <c r="AC16" s="2" t="s">
        <v>38</v>
      </c>
      <c r="AD16" s="2" t="s">
        <v>38</v>
      </c>
      <c r="AE16" s="2" t="s">
        <v>38</v>
      </c>
      <c r="AF16" s="2" t="s">
        <v>38</v>
      </c>
      <c r="AG16" s="2" t="s">
        <v>38</v>
      </c>
      <c r="AH16" s="2" t="s">
        <v>38</v>
      </c>
    </row>
    <row r="17" spans="1:34" x14ac:dyDescent="0.4">
      <c r="A17" s="3" t="s">
        <v>50</v>
      </c>
      <c r="B17" s="4" t="s">
        <v>38</v>
      </c>
      <c r="C17" s="4" t="s">
        <v>38</v>
      </c>
      <c r="D17" s="4" t="s">
        <v>38</v>
      </c>
      <c r="E17" s="4" t="s">
        <v>38</v>
      </c>
      <c r="F17" s="4" t="s">
        <v>38</v>
      </c>
      <c r="G17" s="4" t="s">
        <v>38</v>
      </c>
      <c r="H17" s="4" t="s">
        <v>38</v>
      </c>
      <c r="I17" s="4" t="s">
        <v>38</v>
      </c>
      <c r="J17" s="4" t="s">
        <v>38</v>
      </c>
      <c r="K17" s="4" t="s">
        <v>38</v>
      </c>
      <c r="L17" s="4" t="s">
        <v>38</v>
      </c>
      <c r="M17" s="4" t="s">
        <v>38</v>
      </c>
      <c r="N17" s="4" t="s">
        <v>38</v>
      </c>
      <c r="O17" s="4" t="s">
        <v>38</v>
      </c>
      <c r="P17" s="4" t="s">
        <v>38</v>
      </c>
      <c r="Q17" s="4" t="s">
        <v>38</v>
      </c>
      <c r="R17" s="4" t="s">
        <v>38</v>
      </c>
      <c r="S17" s="4" t="s">
        <v>38</v>
      </c>
      <c r="T17" s="4" t="s">
        <v>38</v>
      </c>
      <c r="U17" s="4" t="s">
        <v>38</v>
      </c>
      <c r="V17" s="4" t="s">
        <v>38</v>
      </c>
      <c r="W17" s="4" t="s">
        <v>38</v>
      </c>
      <c r="X17" s="4" t="s">
        <v>38</v>
      </c>
      <c r="Y17" s="4" t="s">
        <v>38</v>
      </c>
      <c r="Z17" s="4" t="s">
        <v>38</v>
      </c>
      <c r="AA17" s="4" t="s">
        <v>38</v>
      </c>
      <c r="AB17" s="4" t="s">
        <v>38</v>
      </c>
      <c r="AC17" s="4" t="s">
        <v>38</v>
      </c>
      <c r="AD17" s="4" t="s">
        <v>38</v>
      </c>
      <c r="AE17" s="4" t="s">
        <v>38</v>
      </c>
      <c r="AF17" s="4" t="s">
        <v>38</v>
      </c>
      <c r="AG17" s="4" t="s">
        <v>38</v>
      </c>
      <c r="AH17" s="4" t="s">
        <v>38</v>
      </c>
    </row>
    <row r="18" spans="1:34" x14ac:dyDescent="0.4">
      <c r="A18" t="s">
        <v>51</v>
      </c>
      <c r="B18" s="2" t="s">
        <v>38</v>
      </c>
      <c r="C18" s="2" t="s">
        <v>38</v>
      </c>
      <c r="D18" s="2" t="s">
        <v>38</v>
      </c>
      <c r="E18" s="2" t="s">
        <v>38</v>
      </c>
      <c r="F18" s="2" t="s">
        <v>38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38</v>
      </c>
      <c r="P18" s="2" t="s">
        <v>38</v>
      </c>
      <c r="Q18" s="2" t="s">
        <v>38</v>
      </c>
      <c r="R18" s="2" t="s">
        <v>38</v>
      </c>
      <c r="S18" s="2" t="s">
        <v>38</v>
      </c>
      <c r="T18" s="2" t="s">
        <v>38</v>
      </c>
      <c r="U18" s="2" t="s">
        <v>38</v>
      </c>
      <c r="V18" s="2" t="s">
        <v>38</v>
      </c>
      <c r="W18" s="2" t="s">
        <v>38</v>
      </c>
      <c r="X18" s="2" t="s">
        <v>38</v>
      </c>
      <c r="Y18" s="2" t="s">
        <v>38</v>
      </c>
      <c r="Z18" s="2" t="s">
        <v>38</v>
      </c>
      <c r="AA18" s="2" t="s">
        <v>38</v>
      </c>
      <c r="AB18" s="2" t="s">
        <v>38</v>
      </c>
      <c r="AC18" s="2" t="s">
        <v>38</v>
      </c>
      <c r="AD18" s="2" t="s">
        <v>38</v>
      </c>
      <c r="AE18" s="2" t="s">
        <v>38</v>
      </c>
      <c r="AF18" s="2" t="s">
        <v>38</v>
      </c>
      <c r="AG18" s="2" t="s">
        <v>38</v>
      </c>
      <c r="AH18" s="2" t="s">
        <v>38</v>
      </c>
    </row>
    <row r="19" spans="1:34" x14ac:dyDescent="0.4">
      <c r="A19" t="s">
        <v>52</v>
      </c>
      <c r="B19" s="2" t="s">
        <v>38</v>
      </c>
      <c r="C19" s="2" t="s">
        <v>38</v>
      </c>
      <c r="D19" s="2" t="s">
        <v>38</v>
      </c>
      <c r="E19" s="2" t="s">
        <v>38</v>
      </c>
      <c r="F19" s="2" t="s">
        <v>38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38</v>
      </c>
      <c r="S19" s="2" t="s">
        <v>38</v>
      </c>
      <c r="T19" s="2" t="s">
        <v>38</v>
      </c>
      <c r="U19" s="2" t="s">
        <v>38</v>
      </c>
      <c r="V19" s="2" t="s">
        <v>38</v>
      </c>
      <c r="W19" s="2" t="s">
        <v>38</v>
      </c>
      <c r="X19" s="2" t="s">
        <v>38</v>
      </c>
      <c r="Y19" s="2" t="s">
        <v>38</v>
      </c>
      <c r="Z19" s="2" t="s">
        <v>38</v>
      </c>
      <c r="AA19" s="2" t="s">
        <v>38</v>
      </c>
      <c r="AB19" s="2" t="s">
        <v>38</v>
      </c>
      <c r="AC19" s="2" t="s">
        <v>38</v>
      </c>
      <c r="AD19" s="2" t="s">
        <v>38</v>
      </c>
      <c r="AE19" s="2" t="s">
        <v>38</v>
      </c>
      <c r="AF19" s="2" t="s">
        <v>38</v>
      </c>
      <c r="AG19" s="2" t="s">
        <v>38</v>
      </c>
      <c r="AH19" s="2" t="s">
        <v>38</v>
      </c>
    </row>
    <row r="20" spans="1:34" x14ac:dyDescent="0.4">
      <c r="A20" t="s">
        <v>53</v>
      </c>
      <c r="B20" s="2" t="s">
        <v>38</v>
      </c>
      <c r="C20" s="2" t="s">
        <v>38</v>
      </c>
      <c r="D20" s="2" t="s">
        <v>38</v>
      </c>
      <c r="E20" s="2" t="s">
        <v>38</v>
      </c>
      <c r="F20" s="2" t="s">
        <v>38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38</v>
      </c>
      <c r="P20" s="2" t="s">
        <v>38</v>
      </c>
      <c r="Q20" s="2" t="s">
        <v>38</v>
      </c>
      <c r="R20" s="2" t="s">
        <v>38</v>
      </c>
      <c r="S20" s="2" t="s">
        <v>88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38</v>
      </c>
      <c r="Z20" s="2" t="s">
        <v>38</v>
      </c>
      <c r="AA20" s="2" t="s">
        <v>38</v>
      </c>
      <c r="AB20" s="2" t="s">
        <v>38</v>
      </c>
      <c r="AC20" s="2" t="s">
        <v>38</v>
      </c>
      <c r="AD20" s="2" t="s">
        <v>38</v>
      </c>
      <c r="AE20" s="2" t="s">
        <v>38</v>
      </c>
      <c r="AF20" s="2" t="s">
        <v>38</v>
      </c>
      <c r="AG20" s="2" t="s">
        <v>38</v>
      </c>
      <c r="AH20" s="2" t="s">
        <v>38</v>
      </c>
    </row>
    <row r="21" spans="1:34" x14ac:dyDescent="0.4">
      <c r="A21" t="s">
        <v>54</v>
      </c>
      <c r="B21" s="2" t="s">
        <v>38</v>
      </c>
      <c r="C21" s="2" t="s">
        <v>38</v>
      </c>
      <c r="D21" s="2" t="s">
        <v>38</v>
      </c>
      <c r="E21" s="2" t="s">
        <v>38</v>
      </c>
      <c r="F21" s="2" t="s">
        <v>38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38</v>
      </c>
      <c r="S21" s="2" t="s">
        <v>88</v>
      </c>
      <c r="T21" s="2" t="s">
        <v>38</v>
      </c>
      <c r="U21" s="2" t="s">
        <v>38</v>
      </c>
      <c r="V21" s="2" t="s">
        <v>38</v>
      </c>
      <c r="W21" s="2" t="s">
        <v>38</v>
      </c>
      <c r="X21" s="2" t="s">
        <v>38</v>
      </c>
      <c r="Y21" s="2" t="s">
        <v>38</v>
      </c>
      <c r="Z21" s="2" t="s">
        <v>38</v>
      </c>
      <c r="AA21" s="2" t="s">
        <v>38</v>
      </c>
      <c r="AB21" s="2" t="s">
        <v>38</v>
      </c>
      <c r="AC21" s="2" t="s">
        <v>38</v>
      </c>
      <c r="AD21" s="2" t="s">
        <v>38</v>
      </c>
      <c r="AE21" s="2" t="s">
        <v>38</v>
      </c>
      <c r="AF21" s="2" t="s">
        <v>38</v>
      </c>
      <c r="AG21" s="2" t="s">
        <v>38</v>
      </c>
      <c r="AH21" s="2" t="s">
        <v>38</v>
      </c>
    </row>
    <row r="22" spans="1:34" x14ac:dyDescent="0.4">
      <c r="A22" t="s">
        <v>55</v>
      </c>
      <c r="B22" s="2" t="s">
        <v>38</v>
      </c>
      <c r="C22" s="2" t="s">
        <v>38</v>
      </c>
      <c r="D22" s="2" t="s">
        <v>38</v>
      </c>
      <c r="E22" s="2" t="s">
        <v>38</v>
      </c>
      <c r="F22" s="2" t="s">
        <v>38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38</v>
      </c>
      <c r="S22" s="2" t="s">
        <v>38</v>
      </c>
      <c r="T22" s="2" t="s">
        <v>38</v>
      </c>
      <c r="U22" s="2" t="s">
        <v>38</v>
      </c>
      <c r="V22" s="2" t="s">
        <v>38</v>
      </c>
      <c r="W22" s="2" t="s">
        <v>38</v>
      </c>
      <c r="X22" s="2" t="s">
        <v>38</v>
      </c>
      <c r="Y22" s="2" t="s">
        <v>38</v>
      </c>
      <c r="Z22" s="2" t="s">
        <v>38</v>
      </c>
      <c r="AA22" s="2" t="s">
        <v>38</v>
      </c>
      <c r="AB22" s="2" t="s">
        <v>38</v>
      </c>
      <c r="AC22" s="2" t="s">
        <v>38</v>
      </c>
      <c r="AD22" s="2" t="s">
        <v>38</v>
      </c>
      <c r="AE22" s="2" t="s">
        <v>38</v>
      </c>
      <c r="AF22" s="2" t="s">
        <v>38</v>
      </c>
      <c r="AG22" s="2" t="s">
        <v>38</v>
      </c>
      <c r="AH22" s="2" t="s">
        <v>38</v>
      </c>
    </row>
    <row r="23" spans="1:34" x14ac:dyDescent="0.4">
      <c r="A23" t="s">
        <v>56</v>
      </c>
      <c r="B23" s="2" t="s">
        <v>38</v>
      </c>
      <c r="C23" s="2" t="s">
        <v>38</v>
      </c>
      <c r="D23" s="2" t="s">
        <v>38</v>
      </c>
      <c r="E23" s="2" t="s">
        <v>38</v>
      </c>
      <c r="F23" s="2" t="s">
        <v>38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38</v>
      </c>
      <c r="S23" s="2" t="s">
        <v>38</v>
      </c>
      <c r="T23" s="2" t="s">
        <v>38</v>
      </c>
      <c r="U23" s="2" t="s">
        <v>38</v>
      </c>
      <c r="V23" s="2" t="s">
        <v>38</v>
      </c>
      <c r="W23" s="2" t="s">
        <v>38</v>
      </c>
      <c r="X23" s="2" t="s">
        <v>38</v>
      </c>
      <c r="Y23" s="2" t="s">
        <v>38</v>
      </c>
      <c r="Z23" s="2" t="s">
        <v>38</v>
      </c>
      <c r="AA23" s="2" t="s">
        <v>38</v>
      </c>
      <c r="AB23" s="2" t="s">
        <v>38</v>
      </c>
      <c r="AC23" s="2" t="s">
        <v>38</v>
      </c>
      <c r="AD23" s="2" t="s">
        <v>38</v>
      </c>
      <c r="AE23" s="2" t="s">
        <v>38</v>
      </c>
      <c r="AF23" s="2" t="s">
        <v>38</v>
      </c>
      <c r="AG23" s="2" t="s">
        <v>38</v>
      </c>
      <c r="AH23" s="2" t="s">
        <v>38</v>
      </c>
    </row>
    <row r="24" spans="1:34" x14ac:dyDescent="0.4">
      <c r="A24" s="3" t="s">
        <v>57</v>
      </c>
      <c r="B24" s="4" t="s">
        <v>38</v>
      </c>
      <c r="C24" s="4" t="s">
        <v>38</v>
      </c>
      <c r="D24" s="4" t="s">
        <v>38</v>
      </c>
      <c r="E24" s="4" t="s">
        <v>38</v>
      </c>
      <c r="F24" s="4" t="s">
        <v>38</v>
      </c>
      <c r="G24" s="4" t="s">
        <v>38</v>
      </c>
      <c r="H24" s="4" t="s">
        <v>38</v>
      </c>
      <c r="I24" s="4" t="s">
        <v>38</v>
      </c>
      <c r="J24" s="4" t="s">
        <v>38</v>
      </c>
      <c r="K24" s="4" t="s">
        <v>38</v>
      </c>
      <c r="L24" s="4" t="s">
        <v>38</v>
      </c>
      <c r="M24" s="4" t="s">
        <v>38</v>
      </c>
      <c r="N24" s="4" t="s">
        <v>38</v>
      </c>
      <c r="O24" s="4" t="s">
        <v>38</v>
      </c>
      <c r="P24" s="4" t="s">
        <v>38</v>
      </c>
      <c r="Q24" s="4" t="s">
        <v>38</v>
      </c>
      <c r="R24" s="4" t="s">
        <v>38</v>
      </c>
      <c r="S24" s="4" t="s">
        <v>38</v>
      </c>
      <c r="T24" s="4" t="s">
        <v>38</v>
      </c>
      <c r="U24" s="4" t="s">
        <v>38</v>
      </c>
      <c r="V24" s="4" t="s">
        <v>38</v>
      </c>
      <c r="W24" s="4" t="s">
        <v>38</v>
      </c>
      <c r="X24" s="4" t="s">
        <v>38</v>
      </c>
      <c r="Y24" s="4" t="s">
        <v>38</v>
      </c>
      <c r="Z24" s="4" t="s">
        <v>38</v>
      </c>
      <c r="AA24" s="4" t="s">
        <v>38</v>
      </c>
      <c r="AB24" s="4" t="s">
        <v>38</v>
      </c>
      <c r="AC24" s="4" t="s">
        <v>38</v>
      </c>
      <c r="AD24" s="4" t="s">
        <v>38</v>
      </c>
      <c r="AE24" s="4" t="s">
        <v>38</v>
      </c>
      <c r="AF24" s="4" t="s">
        <v>38</v>
      </c>
      <c r="AG24" s="4" t="s">
        <v>38</v>
      </c>
      <c r="AH24" s="4" t="s">
        <v>38</v>
      </c>
    </row>
    <row r="25" spans="1:34" x14ac:dyDescent="0.4">
      <c r="A25" t="s">
        <v>58</v>
      </c>
      <c r="B25" s="2" t="s">
        <v>38</v>
      </c>
      <c r="C25" s="2" t="s">
        <v>38</v>
      </c>
      <c r="D25" s="2" t="s">
        <v>38</v>
      </c>
      <c r="E25" s="2" t="s">
        <v>38</v>
      </c>
      <c r="F25" s="2" t="s">
        <v>38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38</v>
      </c>
      <c r="S25" s="2" t="s">
        <v>88</v>
      </c>
      <c r="T25" s="2" t="s">
        <v>38</v>
      </c>
      <c r="U25" s="2" t="s">
        <v>38</v>
      </c>
      <c r="V25" s="2" t="s">
        <v>38</v>
      </c>
      <c r="W25" s="2" t="s">
        <v>38</v>
      </c>
      <c r="X25" s="2" t="s">
        <v>38</v>
      </c>
      <c r="Y25" s="2" t="s">
        <v>38</v>
      </c>
      <c r="Z25" s="2" t="s">
        <v>38</v>
      </c>
      <c r="AA25" s="2" t="s">
        <v>38</v>
      </c>
      <c r="AB25" s="2" t="s">
        <v>38</v>
      </c>
      <c r="AC25" s="2" t="s">
        <v>38</v>
      </c>
      <c r="AD25" s="2" t="s">
        <v>38</v>
      </c>
      <c r="AE25" s="2" t="s">
        <v>38</v>
      </c>
      <c r="AF25" s="2" t="s">
        <v>38</v>
      </c>
      <c r="AG25" s="2" t="s">
        <v>38</v>
      </c>
      <c r="AH25" s="2" t="s">
        <v>38</v>
      </c>
    </row>
    <row r="26" spans="1:34" x14ac:dyDescent="0.4">
      <c r="A26" s="3" t="s">
        <v>59</v>
      </c>
      <c r="B26" s="4" t="s">
        <v>38</v>
      </c>
      <c r="C26" s="4" t="s">
        <v>38</v>
      </c>
      <c r="D26" s="4" t="s">
        <v>38</v>
      </c>
      <c r="E26" s="4" t="s">
        <v>38</v>
      </c>
      <c r="F26" s="4" t="s">
        <v>38</v>
      </c>
      <c r="G26" s="4" t="s">
        <v>38</v>
      </c>
      <c r="H26" s="4" t="s">
        <v>38</v>
      </c>
      <c r="I26" s="4" t="s">
        <v>38</v>
      </c>
      <c r="J26" s="4" t="s">
        <v>38</v>
      </c>
      <c r="K26" s="4" t="s">
        <v>38</v>
      </c>
      <c r="L26" s="4" t="s">
        <v>38</v>
      </c>
      <c r="M26" s="4" t="s">
        <v>38</v>
      </c>
      <c r="N26" s="4" t="s">
        <v>38</v>
      </c>
      <c r="O26" s="4" t="s">
        <v>38</v>
      </c>
      <c r="P26" s="4" t="s">
        <v>38</v>
      </c>
      <c r="Q26" s="4" t="s">
        <v>38</v>
      </c>
      <c r="R26" s="4" t="s">
        <v>38</v>
      </c>
      <c r="S26" s="4" t="s">
        <v>88</v>
      </c>
      <c r="T26" s="4" t="s">
        <v>38</v>
      </c>
      <c r="U26" s="4" t="s">
        <v>38</v>
      </c>
      <c r="V26" s="4" t="s">
        <v>38</v>
      </c>
      <c r="W26" s="4" t="s">
        <v>38</v>
      </c>
      <c r="X26" s="4" t="s">
        <v>38</v>
      </c>
      <c r="Y26" s="4" t="s">
        <v>38</v>
      </c>
      <c r="Z26" s="4" t="s">
        <v>38</v>
      </c>
      <c r="AA26" s="4" t="s">
        <v>38</v>
      </c>
      <c r="AB26" s="4" t="s">
        <v>38</v>
      </c>
      <c r="AC26" s="4" t="s">
        <v>38</v>
      </c>
      <c r="AD26" s="4" t="s">
        <v>38</v>
      </c>
      <c r="AE26" s="4" t="s">
        <v>38</v>
      </c>
      <c r="AF26" s="4" t="s">
        <v>38</v>
      </c>
      <c r="AG26" s="4" t="s">
        <v>38</v>
      </c>
      <c r="AH26" s="4" t="s">
        <v>38</v>
      </c>
    </row>
    <row r="27" spans="1:34" x14ac:dyDescent="0.4">
      <c r="A27" t="s">
        <v>60</v>
      </c>
      <c r="B27" s="2" t="s">
        <v>38</v>
      </c>
      <c r="C27" s="2" t="s">
        <v>38</v>
      </c>
      <c r="D27" s="2" t="s">
        <v>38</v>
      </c>
      <c r="E27" s="2" t="s">
        <v>38</v>
      </c>
      <c r="F27" s="2" t="s">
        <v>38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38</v>
      </c>
      <c r="S27" s="2" t="s">
        <v>88</v>
      </c>
      <c r="T27" s="2" t="s">
        <v>38</v>
      </c>
      <c r="U27" s="2" t="s">
        <v>38</v>
      </c>
      <c r="V27" s="2" t="s">
        <v>38</v>
      </c>
      <c r="W27" s="2" t="s">
        <v>38</v>
      </c>
      <c r="X27" s="2" t="s">
        <v>38</v>
      </c>
      <c r="Y27" s="2" t="s">
        <v>38</v>
      </c>
      <c r="Z27" s="2" t="s">
        <v>38</v>
      </c>
      <c r="AA27" s="2" t="s">
        <v>38</v>
      </c>
      <c r="AB27" s="2" t="s">
        <v>38</v>
      </c>
      <c r="AC27" s="2" t="s">
        <v>38</v>
      </c>
      <c r="AD27" s="2" t="s">
        <v>38</v>
      </c>
      <c r="AE27" s="2" t="s">
        <v>38</v>
      </c>
      <c r="AF27" s="2" t="s">
        <v>38</v>
      </c>
      <c r="AG27" s="2" t="s">
        <v>38</v>
      </c>
      <c r="AH27" s="2" t="s">
        <v>38</v>
      </c>
    </row>
    <row r="28" spans="1:34" x14ac:dyDescent="0.4">
      <c r="A28" s="3" t="s">
        <v>61</v>
      </c>
      <c r="B28" s="4" t="s">
        <v>38</v>
      </c>
      <c r="C28" s="4" t="s">
        <v>38</v>
      </c>
      <c r="D28" s="4" t="s">
        <v>38</v>
      </c>
      <c r="E28" s="4" t="s">
        <v>38</v>
      </c>
      <c r="F28" s="4" t="s">
        <v>38</v>
      </c>
      <c r="G28" s="4" t="s">
        <v>38</v>
      </c>
      <c r="H28" s="4" t="s">
        <v>38</v>
      </c>
      <c r="I28" s="4" t="s">
        <v>38</v>
      </c>
      <c r="J28" s="4" t="s">
        <v>38</v>
      </c>
      <c r="K28" s="4" t="s">
        <v>38</v>
      </c>
      <c r="L28" s="4" t="s">
        <v>38</v>
      </c>
      <c r="M28" s="4" t="s">
        <v>38</v>
      </c>
      <c r="N28" s="4" t="s">
        <v>38</v>
      </c>
      <c r="O28" s="4" t="s">
        <v>38</v>
      </c>
      <c r="P28" s="4" t="s">
        <v>38</v>
      </c>
      <c r="Q28" s="4" t="s">
        <v>38</v>
      </c>
      <c r="R28" s="4" t="s">
        <v>38</v>
      </c>
      <c r="S28" s="4" t="s">
        <v>88</v>
      </c>
      <c r="T28" s="4" t="s">
        <v>38</v>
      </c>
      <c r="U28" s="4" t="s">
        <v>38</v>
      </c>
      <c r="V28" s="4" t="s">
        <v>38</v>
      </c>
      <c r="W28" s="4" t="s">
        <v>38</v>
      </c>
      <c r="X28" s="4" t="s">
        <v>38</v>
      </c>
      <c r="Y28" s="4" t="s">
        <v>38</v>
      </c>
      <c r="Z28" s="4" t="s">
        <v>38</v>
      </c>
      <c r="AA28" s="4" t="s">
        <v>38</v>
      </c>
      <c r="AB28" s="4" t="s">
        <v>38</v>
      </c>
      <c r="AC28" s="4" t="s">
        <v>38</v>
      </c>
      <c r="AD28" s="4" t="s">
        <v>38</v>
      </c>
      <c r="AE28" s="4" t="s">
        <v>38</v>
      </c>
      <c r="AF28" s="4" t="s">
        <v>38</v>
      </c>
      <c r="AG28" s="4" t="s">
        <v>38</v>
      </c>
      <c r="AH28" s="4" t="s">
        <v>38</v>
      </c>
    </row>
    <row r="29" spans="1:34" x14ac:dyDescent="0.4">
      <c r="A29" t="s">
        <v>62</v>
      </c>
      <c r="B29" s="2" t="s">
        <v>38</v>
      </c>
      <c r="C29" s="2" t="s">
        <v>38</v>
      </c>
      <c r="D29" s="2" t="s">
        <v>38</v>
      </c>
      <c r="E29" s="2" t="s">
        <v>38</v>
      </c>
      <c r="F29" s="2" t="s">
        <v>38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38</v>
      </c>
      <c r="S29" s="2" t="s">
        <v>38</v>
      </c>
      <c r="T29" s="2" t="s">
        <v>38</v>
      </c>
      <c r="U29" s="2" t="s">
        <v>38</v>
      </c>
      <c r="V29" s="2" t="s">
        <v>38</v>
      </c>
      <c r="W29" s="2" t="s">
        <v>38</v>
      </c>
      <c r="X29" s="2" t="s">
        <v>38</v>
      </c>
      <c r="Y29" s="2" t="s">
        <v>38</v>
      </c>
      <c r="Z29" s="2" t="s">
        <v>38</v>
      </c>
      <c r="AA29" s="2" t="s">
        <v>38</v>
      </c>
      <c r="AB29" s="2" t="s">
        <v>38</v>
      </c>
      <c r="AC29" s="2" t="s">
        <v>38</v>
      </c>
      <c r="AD29" s="2" t="s">
        <v>38</v>
      </c>
      <c r="AE29" s="2" t="s">
        <v>38</v>
      </c>
      <c r="AF29" s="2" t="s">
        <v>38</v>
      </c>
      <c r="AG29" s="2" t="s">
        <v>38</v>
      </c>
      <c r="AH29" s="2" t="s">
        <v>38</v>
      </c>
    </row>
    <row r="30" spans="1:34" x14ac:dyDescent="0.4">
      <c r="A30" t="s">
        <v>63</v>
      </c>
      <c r="B30" s="2" t="s">
        <v>38</v>
      </c>
      <c r="C30" s="2" t="s">
        <v>38</v>
      </c>
      <c r="D30" s="2" t="s">
        <v>38</v>
      </c>
      <c r="E30" s="2" t="s">
        <v>38</v>
      </c>
      <c r="F30" s="2" t="s">
        <v>38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38</v>
      </c>
      <c r="P30" s="2" t="s">
        <v>38</v>
      </c>
      <c r="Q30" s="2" t="s">
        <v>38</v>
      </c>
      <c r="R30" s="2" t="s">
        <v>38</v>
      </c>
      <c r="S30" s="2" t="s">
        <v>38</v>
      </c>
      <c r="T30" s="2" t="s">
        <v>38</v>
      </c>
      <c r="U30" s="2" t="s">
        <v>38</v>
      </c>
      <c r="V30" s="2" t="s">
        <v>38</v>
      </c>
      <c r="W30" s="2" t="s">
        <v>38</v>
      </c>
      <c r="X30" s="2" t="s">
        <v>38</v>
      </c>
      <c r="Y30" s="2" t="s">
        <v>38</v>
      </c>
      <c r="Z30" s="2" t="s">
        <v>38</v>
      </c>
      <c r="AA30" s="2" t="s">
        <v>38</v>
      </c>
      <c r="AB30" s="2" t="s">
        <v>38</v>
      </c>
      <c r="AC30" s="2" t="s">
        <v>38</v>
      </c>
      <c r="AD30" s="2" t="s">
        <v>38</v>
      </c>
      <c r="AE30" s="2" t="s">
        <v>38</v>
      </c>
      <c r="AF30" s="2" t="s">
        <v>38</v>
      </c>
      <c r="AG30" s="2" t="s">
        <v>38</v>
      </c>
      <c r="AH30" s="2" t="s">
        <v>38</v>
      </c>
    </row>
    <row r="31" spans="1:34" x14ac:dyDescent="0.4">
      <c r="A31" t="s">
        <v>64</v>
      </c>
      <c r="B31" s="2" t="s">
        <v>38</v>
      </c>
      <c r="C31" s="2" t="s">
        <v>38</v>
      </c>
      <c r="D31" s="2" t="s">
        <v>38</v>
      </c>
      <c r="E31" s="2" t="s">
        <v>38</v>
      </c>
      <c r="F31" s="2" t="s">
        <v>38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38</v>
      </c>
      <c r="S31" s="2" t="s">
        <v>88</v>
      </c>
      <c r="T31" s="2" t="s">
        <v>38</v>
      </c>
      <c r="U31" s="2" t="s">
        <v>38</v>
      </c>
      <c r="V31" s="2" t="s">
        <v>38</v>
      </c>
      <c r="W31" s="2" t="s">
        <v>38</v>
      </c>
      <c r="X31" s="2" t="s">
        <v>38</v>
      </c>
      <c r="Y31" s="2" t="s">
        <v>38</v>
      </c>
      <c r="Z31" s="2" t="s">
        <v>38</v>
      </c>
      <c r="AA31" s="2" t="s">
        <v>38</v>
      </c>
      <c r="AB31" s="2" t="s">
        <v>38</v>
      </c>
      <c r="AC31" s="2" t="s">
        <v>38</v>
      </c>
      <c r="AD31" s="2" t="s">
        <v>38</v>
      </c>
      <c r="AE31" s="2" t="s">
        <v>38</v>
      </c>
      <c r="AF31" s="2" t="s">
        <v>38</v>
      </c>
      <c r="AG31" s="2" t="s">
        <v>38</v>
      </c>
      <c r="AH31" s="2" t="s">
        <v>38</v>
      </c>
    </row>
    <row r="32" spans="1:34" x14ac:dyDescent="0.4">
      <c r="A32" s="3" t="s">
        <v>65</v>
      </c>
      <c r="B32" s="4" t="s">
        <v>38</v>
      </c>
      <c r="C32" s="4" t="s">
        <v>38</v>
      </c>
      <c r="D32" s="4" t="s">
        <v>38</v>
      </c>
      <c r="E32" s="4" t="s">
        <v>38</v>
      </c>
      <c r="F32" s="4" t="s">
        <v>38</v>
      </c>
      <c r="G32" s="4" t="s">
        <v>38</v>
      </c>
      <c r="H32" s="4" t="s">
        <v>38</v>
      </c>
      <c r="I32" s="4" t="s">
        <v>38</v>
      </c>
      <c r="J32" s="4" t="s">
        <v>38</v>
      </c>
      <c r="K32" s="4" t="s">
        <v>38</v>
      </c>
      <c r="L32" s="4" t="s">
        <v>38</v>
      </c>
      <c r="M32" s="4" t="s">
        <v>38</v>
      </c>
      <c r="N32" s="4" t="s">
        <v>38</v>
      </c>
      <c r="O32" s="4" t="s">
        <v>38</v>
      </c>
      <c r="P32" s="4" t="s">
        <v>38</v>
      </c>
      <c r="Q32" s="4" t="s">
        <v>38</v>
      </c>
      <c r="R32" s="4" t="s">
        <v>38</v>
      </c>
      <c r="S32" s="4" t="s">
        <v>88</v>
      </c>
      <c r="T32" s="4" t="s">
        <v>38</v>
      </c>
      <c r="U32" s="4" t="s">
        <v>38</v>
      </c>
      <c r="V32" s="4" t="s">
        <v>38</v>
      </c>
      <c r="W32" s="4" t="s">
        <v>38</v>
      </c>
      <c r="X32" s="4" t="s">
        <v>38</v>
      </c>
      <c r="Y32" s="4" t="s">
        <v>38</v>
      </c>
      <c r="Z32" s="4" t="s">
        <v>38</v>
      </c>
      <c r="AA32" s="4" t="s">
        <v>38</v>
      </c>
      <c r="AB32" s="4" t="s">
        <v>38</v>
      </c>
      <c r="AC32" s="4" t="s">
        <v>38</v>
      </c>
      <c r="AD32" s="4" t="s">
        <v>38</v>
      </c>
      <c r="AE32" s="4" t="s">
        <v>38</v>
      </c>
      <c r="AF32" s="4" t="s">
        <v>38</v>
      </c>
      <c r="AG32" s="4" t="s">
        <v>38</v>
      </c>
      <c r="AH32" s="4" t="s">
        <v>38</v>
      </c>
    </row>
    <row r="33" spans="1:34" x14ac:dyDescent="0.4">
      <c r="A33" t="s">
        <v>66</v>
      </c>
      <c r="B33" s="2" t="s">
        <v>38</v>
      </c>
      <c r="C33" s="2" t="s">
        <v>38</v>
      </c>
      <c r="D33" s="2" t="s">
        <v>38</v>
      </c>
      <c r="E33" s="2" t="s">
        <v>38</v>
      </c>
      <c r="F33" s="2" t="s">
        <v>38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38</v>
      </c>
      <c r="P33" s="2" t="s">
        <v>38</v>
      </c>
      <c r="Q33" s="2" t="s">
        <v>38</v>
      </c>
      <c r="R33" s="2" t="s">
        <v>38</v>
      </c>
      <c r="S33" s="2" t="s">
        <v>88</v>
      </c>
      <c r="T33" s="2" t="s">
        <v>38</v>
      </c>
      <c r="U33" s="2" t="s">
        <v>38</v>
      </c>
      <c r="V33" s="2" t="s">
        <v>38</v>
      </c>
      <c r="W33" s="2" t="s">
        <v>38</v>
      </c>
      <c r="X33" s="2" t="s">
        <v>38</v>
      </c>
      <c r="Y33" s="2" t="s">
        <v>38</v>
      </c>
      <c r="Z33" s="2" t="s">
        <v>38</v>
      </c>
      <c r="AA33" s="2" t="s">
        <v>38</v>
      </c>
      <c r="AB33" s="2" t="s">
        <v>38</v>
      </c>
      <c r="AC33" s="2" t="s">
        <v>38</v>
      </c>
      <c r="AD33" s="2" t="s">
        <v>38</v>
      </c>
      <c r="AE33" s="2" t="s">
        <v>38</v>
      </c>
      <c r="AF33" s="2" t="s">
        <v>38</v>
      </c>
      <c r="AG33" s="2" t="s">
        <v>38</v>
      </c>
      <c r="AH33" s="2" t="s">
        <v>38</v>
      </c>
    </row>
    <row r="34" spans="1:34" x14ac:dyDescent="0.4">
      <c r="A34" t="s">
        <v>67</v>
      </c>
      <c r="B34" s="2" t="s">
        <v>38</v>
      </c>
      <c r="C34" s="2" t="s">
        <v>38</v>
      </c>
      <c r="D34" s="2" t="s">
        <v>38</v>
      </c>
      <c r="E34" s="2" t="s">
        <v>38</v>
      </c>
      <c r="F34" s="2" t="s">
        <v>38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2" t="s">
        <v>38</v>
      </c>
      <c r="Q34" s="2" t="s">
        <v>38</v>
      </c>
      <c r="R34" s="2" t="s">
        <v>38</v>
      </c>
      <c r="S34" s="2" t="s">
        <v>88</v>
      </c>
      <c r="T34" s="2" t="s">
        <v>38</v>
      </c>
      <c r="U34" s="2" t="s">
        <v>38</v>
      </c>
      <c r="V34" s="2" t="s">
        <v>38</v>
      </c>
      <c r="W34" s="2" t="s">
        <v>38</v>
      </c>
      <c r="X34" s="2" t="s">
        <v>38</v>
      </c>
      <c r="Y34" s="2" t="s">
        <v>38</v>
      </c>
      <c r="Z34" s="2" t="s">
        <v>38</v>
      </c>
      <c r="AA34" s="2" t="s">
        <v>38</v>
      </c>
      <c r="AB34" s="2" t="s">
        <v>38</v>
      </c>
      <c r="AC34" s="2" t="s">
        <v>38</v>
      </c>
      <c r="AD34" s="2" t="s">
        <v>38</v>
      </c>
      <c r="AE34" s="2" t="s">
        <v>38</v>
      </c>
      <c r="AF34" s="2" t="s">
        <v>38</v>
      </c>
      <c r="AG34" s="2" t="s">
        <v>38</v>
      </c>
      <c r="AH34" s="2" t="s">
        <v>38</v>
      </c>
    </row>
    <row r="35" spans="1:34" x14ac:dyDescent="0.4">
      <c r="A35" s="3" t="s">
        <v>68</v>
      </c>
      <c r="B35" s="4" t="s">
        <v>38</v>
      </c>
      <c r="C35" s="4" t="s">
        <v>38</v>
      </c>
      <c r="D35" s="4" t="s">
        <v>38</v>
      </c>
      <c r="E35" s="4" t="s">
        <v>38</v>
      </c>
      <c r="F35" s="4" t="s">
        <v>38</v>
      </c>
      <c r="G35" s="4" t="s">
        <v>38</v>
      </c>
      <c r="H35" s="4" t="s">
        <v>38</v>
      </c>
      <c r="I35" s="4" t="s">
        <v>38</v>
      </c>
      <c r="J35" s="4" t="s">
        <v>38</v>
      </c>
      <c r="K35" s="4" t="s">
        <v>38</v>
      </c>
      <c r="L35" s="4" t="s">
        <v>38</v>
      </c>
      <c r="M35" s="4" t="s">
        <v>38</v>
      </c>
      <c r="N35" s="4" t="s">
        <v>38</v>
      </c>
      <c r="O35" s="4" t="s">
        <v>38</v>
      </c>
      <c r="P35" s="4" t="s">
        <v>38</v>
      </c>
      <c r="Q35" s="4" t="s">
        <v>38</v>
      </c>
      <c r="R35" s="4" t="s">
        <v>38</v>
      </c>
      <c r="S35" s="4" t="s">
        <v>88</v>
      </c>
      <c r="T35" s="4" t="s">
        <v>38</v>
      </c>
      <c r="U35" s="4" t="s">
        <v>38</v>
      </c>
      <c r="V35" s="4" t="s">
        <v>38</v>
      </c>
      <c r="W35" s="4" t="s">
        <v>38</v>
      </c>
      <c r="X35" s="4" t="s">
        <v>38</v>
      </c>
      <c r="Y35" s="4" t="s">
        <v>38</v>
      </c>
      <c r="Z35" s="4" t="s">
        <v>38</v>
      </c>
      <c r="AA35" s="4" t="s">
        <v>38</v>
      </c>
      <c r="AB35" s="4" t="s">
        <v>38</v>
      </c>
      <c r="AC35" s="4" t="s">
        <v>38</v>
      </c>
      <c r="AD35" s="4" t="s">
        <v>38</v>
      </c>
      <c r="AE35" s="4" t="s">
        <v>38</v>
      </c>
      <c r="AF35" s="4" t="s">
        <v>38</v>
      </c>
      <c r="AG35" s="4" t="s">
        <v>38</v>
      </c>
      <c r="AH35" s="4" t="s">
        <v>38</v>
      </c>
    </row>
    <row r="36" spans="1:34" x14ac:dyDescent="0.4">
      <c r="A36" t="s">
        <v>69</v>
      </c>
      <c r="B36" s="2" t="s">
        <v>38</v>
      </c>
      <c r="C36" s="2" t="s">
        <v>38</v>
      </c>
      <c r="D36" s="2" t="s">
        <v>38</v>
      </c>
      <c r="E36" s="2" t="s">
        <v>38</v>
      </c>
      <c r="F36" s="2" t="s">
        <v>38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38</v>
      </c>
      <c r="S36" s="2" t="s">
        <v>88</v>
      </c>
      <c r="T36" s="2" t="s">
        <v>38</v>
      </c>
      <c r="U36" s="2" t="s">
        <v>38</v>
      </c>
      <c r="V36" s="2" t="s">
        <v>38</v>
      </c>
      <c r="W36" s="2" t="s">
        <v>38</v>
      </c>
      <c r="X36" s="2" t="s">
        <v>38</v>
      </c>
      <c r="Y36" s="2" t="s">
        <v>38</v>
      </c>
      <c r="Z36" s="2" t="s">
        <v>38</v>
      </c>
      <c r="AA36" s="2" t="s">
        <v>38</v>
      </c>
      <c r="AB36" s="2" t="s">
        <v>38</v>
      </c>
      <c r="AC36" s="2" t="s">
        <v>38</v>
      </c>
      <c r="AD36" s="2" t="s">
        <v>38</v>
      </c>
      <c r="AE36" s="2" t="s">
        <v>38</v>
      </c>
      <c r="AF36" s="2" t="s">
        <v>38</v>
      </c>
      <c r="AG36" s="2" t="s">
        <v>38</v>
      </c>
      <c r="AH36" s="2" t="s">
        <v>38</v>
      </c>
    </row>
    <row r="37" spans="1:34" x14ac:dyDescent="0.4">
      <c r="A37" s="3" t="s">
        <v>70</v>
      </c>
      <c r="B37" s="4" t="s">
        <v>38</v>
      </c>
      <c r="C37" s="4" t="s">
        <v>38</v>
      </c>
      <c r="D37" s="4" t="s">
        <v>38</v>
      </c>
      <c r="E37" s="4" t="s">
        <v>38</v>
      </c>
      <c r="F37" s="4" t="s">
        <v>38</v>
      </c>
      <c r="G37" s="4" t="s">
        <v>38</v>
      </c>
      <c r="H37" s="4" t="s">
        <v>38</v>
      </c>
      <c r="I37" s="4" t="s">
        <v>38</v>
      </c>
      <c r="J37" s="4" t="s">
        <v>38</v>
      </c>
      <c r="K37" s="4" t="s">
        <v>38</v>
      </c>
      <c r="L37" s="4" t="s">
        <v>38</v>
      </c>
      <c r="M37" s="4" t="s">
        <v>38</v>
      </c>
      <c r="N37" s="4" t="s">
        <v>38</v>
      </c>
      <c r="O37" s="4" t="s">
        <v>38</v>
      </c>
      <c r="P37" s="4" t="s">
        <v>38</v>
      </c>
      <c r="Q37" s="4" t="s">
        <v>38</v>
      </c>
      <c r="R37" s="4" t="s">
        <v>38</v>
      </c>
      <c r="S37" s="4" t="s">
        <v>88</v>
      </c>
      <c r="T37" s="4" t="s">
        <v>38</v>
      </c>
      <c r="U37" s="4" t="s">
        <v>38</v>
      </c>
      <c r="V37" s="4" t="s">
        <v>38</v>
      </c>
      <c r="W37" s="4" t="s">
        <v>38</v>
      </c>
      <c r="X37" s="4" t="s">
        <v>38</v>
      </c>
      <c r="Y37" s="4" t="s">
        <v>38</v>
      </c>
      <c r="Z37" s="4" t="s">
        <v>38</v>
      </c>
      <c r="AA37" s="4" t="s">
        <v>38</v>
      </c>
      <c r="AB37" s="4" t="s">
        <v>38</v>
      </c>
      <c r="AC37" s="4" t="s">
        <v>38</v>
      </c>
      <c r="AD37" s="4" t="s">
        <v>38</v>
      </c>
      <c r="AE37" s="4" t="s">
        <v>38</v>
      </c>
      <c r="AF37" s="4" t="s">
        <v>38</v>
      </c>
      <c r="AG37" s="4" t="s">
        <v>38</v>
      </c>
      <c r="AH37" s="4" t="s">
        <v>38</v>
      </c>
    </row>
    <row r="38" spans="1:34" x14ac:dyDescent="0.4">
      <c r="A38" t="s">
        <v>71</v>
      </c>
      <c r="B38" s="2" t="s">
        <v>38</v>
      </c>
      <c r="C38" s="2" t="s">
        <v>38</v>
      </c>
      <c r="D38" s="2" t="s">
        <v>38</v>
      </c>
      <c r="E38" s="2" t="s">
        <v>38</v>
      </c>
      <c r="F38" s="2" t="s">
        <v>38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38</v>
      </c>
      <c r="P38" s="2" t="s">
        <v>38</v>
      </c>
      <c r="Q38" s="2" t="s">
        <v>38</v>
      </c>
      <c r="R38" s="2" t="s">
        <v>38</v>
      </c>
      <c r="S38" s="2" t="s">
        <v>38</v>
      </c>
      <c r="T38" s="2" t="s">
        <v>38</v>
      </c>
      <c r="U38" s="2" t="s">
        <v>38</v>
      </c>
      <c r="V38" s="2" t="s">
        <v>38</v>
      </c>
      <c r="W38" s="2" t="s">
        <v>38</v>
      </c>
      <c r="X38" s="2" t="s">
        <v>38</v>
      </c>
      <c r="Y38" s="2" t="s">
        <v>38</v>
      </c>
      <c r="Z38" s="2" t="s">
        <v>38</v>
      </c>
      <c r="AA38" s="2" t="s">
        <v>38</v>
      </c>
      <c r="AB38" s="2" t="s">
        <v>38</v>
      </c>
      <c r="AC38" s="2" t="s">
        <v>38</v>
      </c>
      <c r="AD38" s="2" t="s">
        <v>38</v>
      </c>
      <c r="AE38" s="2" t="s">
        <v>38</v>
      </c>
      <c r="AF38" s="2" t="s">
        <v>38</v>
      </c>
      <c r="AG38" s="2" t="s">
        <v>38</v>
      </c>
      <c r="AH38" s="2" t="s">
        <v>38</v>
      </c>
    </row>
    <row r="39" spans="1:34" x14ac:dyDescent="0.4">
      <c r="A39" t="s">
        <v>72</v>
      </c>
      <c r="B39" s="2" t="s">
        <v>38</v>
      </c>
      <c r="C39" s="2" t="s">
        <v>38</v>
      </c>
      <c r="D39" s="2" t="s">
        <v>38</v>
      </c>
      <c r="E39" s="2" t="s">
        <v>38</v>
      </c>
      <c r="F39" s="2" t="s">
        <v>38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38</v>
      </c>
      <c r="P39" s="2" t="s">
        <v>38</v>
      </c>
      <c r="Q39" s="2" t="s">
        <v>38</v>
      </c>
      <c r="R39" s="2" t="s">
        <v>38</v>
      </c>
      <c r="S39" s="2" t="s">
        <v>38</v>
      </c>
      <c r="T39" s="2" t="s">
        <v>38</v>
      </c>
      <c r="U39" s="2" t="s">
        <v>38</v>
      </c>
      <c r="V39" s="2" t="s">
        <v>38</v>
      </c>
      <c r="W39" s="2" t="s">
        <v>38</v>
      </c>
      <c r="X39" s="2" t="s">
        <v>38</v>
      </c>
      <c r="Y39" s="2" t="s">
        <v>38</v>
      </c>
      <c r="Z39" s="2" t="s">
        <v>38</v>
      </c>
      <c r="AA39" s="2" t="s">
        <v>38</v>
      </c>
      <c r="AB39" s="2" t="s">
        <v>38</v>
      </c>
      <c r="AC39" s="2" t="s">
        <v>38</v>
      </c>
      <c r="AD39" s="2" t="s">
        <v>38</v>
      </c>
      <c r="AE39" s="2" t="s">
        <v>38</v>
      </c>
      <c r="AF39" s="2" t="s">
        <v>38</v>
      </c>
      <c r="AG39" s="2" t="s">
        <v>38</v>
      </c>
      <c r="AH39" s="2" t="s">
        <v>38</v>
      </c>
    </row>
    <row r="40" spans="1:34" x14ac:dyDescent="0.4">
      <c r="A40" t="s">
        <v>73</v>
      </c>
      <c r="B40" s="2" t="s">
        <v>38</v>
      </c>
      <c r="C40" s="2" t="s">
        <v>38</v>
      </c>
      <c r="D40" s="2" t="s">
        <v>38</v>
      </c>
      <c r="E40" s="2" t="s">
        <v>38</v>
      </c>
      <c r="F40" s="2" t="s">
        <v>38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2" t="s">
        <v>38</v>
      </c>
      <c r="Q40" s="2" t="s">
        <v>38</v>
      </c>
      <c r="R40" s="2" t="s">
        <v>38</v>
      </c>
      <c r="S40" s="2" t="s">
        <v>38</v>
      </c>
      <c r="T40" s="2" t="s">
        <v>38</v>
      </c>
      <c r="U40" s="2" t="s">
        <v>38</v>
      </c>
      <c r="V40" s="2" t="s">
        <v>38</v>
      </c>
      <c r="W40" s="2" t="s">
        <v>38</v>
      </c>
      <c r="X40" s="2" t="s">
        <v>38</v>
      </c>
      <c r="Y40" s="2" t="s">
        <v>38</v>
      </c>
      <c r="Z40" s="2" t="s">
        <v>38</v>
      </c>
      <c r="AA40" s="2" t="s">
        <v>38</v>
      </c>
      <c r="AB40" s="2" t="s">
        <v>38</v>
      </c>
      <c r="AC40" s="2" t="s">
        <v>38</v>
      </c>
      <c r="AD40" s="2" t="s">
        <v>38</v>
      </c>
      <c r="AE40" s="2" t="s">
        <v>38</v>
      </c>
      <c r="AF40" s="2" t="s">
        <v>38</v>
      </c>
      <c r="AG40" s="2" t="s">
        <v>38</v>
      </c>
      <c r="AH40" s="2" t="s">
        <v>38</v>
      </c>
    </row>
    <row r="42" spans="1:34" x14ac:dyDescent="0.4">
      <c r="A42" s="1" t="s">
        <v>74</v>
      </c>
      <c r="B42" s="5">
        <f t="shared" ref="B42:AH42" si="0">COUNTIF(B5:B40, "☑") + COUNTIF(B5:B40, TRUE)</f>
        <v>0</v>
      </c>
      <c r="C42" s="5">
        <f t="shared" si="0"/>
        <v>0</v>
      </c>
      <c r="D42" s="5">
        <f t="shared" si="0"/>
        <v>0</v>
      </c>
      <c r="E42" s="5">
        <f t="shared" si="0"/>
        <v>0</v>
      </c>
      <c r="F42" s="5">
        <f t="shared" si="0"/>
        <v>0</v>
      </c>
      <c r="G42" s="5">
        <f t="shared" si="0"/>
        <v>0</v>
      </c>
      <c r="H42" s="5">
        <f t="shared" si="0"/>
        <v>0</v>
      </c>
      <c r="I42" s="5">
        <f t="shared" si="0"/>
        <v>0</v>
      </c>
      <c r="J42" s="5">
        <f t="shared" si="0"/>
        <v>0</v>
      </c>
      <c r="K42" s="5">
        <f t="shared" si="0"/>
        <v>0</v>
      </c>
      <c r="L42" s="5">
        <f t="shared" si="0"/>
        <v>0</v>
      </c>
      <c r="M42" s="5">
        <f t="shared" si="0"/>
        <v>0</v>
      </c>
      <c r="N42" s="5">
        <f t="shared" si="0"/>
        <v>0</v>
      </c>
      <c r="O42" s="5">
        <f t="shared" si="0"/>
        <v>0</v>
      </c>
      <c r="P42" s="5">
        <f t="shared" si="0"/>
        <v>0</v>
      </c>
      <c r="Q42" s="5">
        <f t="shared" si="0"/>
        <v>0</v>
      </c>
      <c r="R42" s="5">
        <f t="shared" si="0"/>
        <v>1</v>
      </c>
      <c r="S42" s="5">
        <f t="shared" si="0"/>
        <v>14</v>
      </c>
      <c r="T42" s="5">
        <f t="shared" si="0"/>
        <v>0</v>
      </c>
      <c r="U42" s="5">
        <f t="shared" si="0"/>
        <v>0</v>
      </c>
      <c r="V42" s="5">
        <f t="shared" si="0"/>
        <v>0</v>
      </c>
      <c r="W42" s="5">
        <f t="shared" si="0"/>
        <v>0</v>
      </c>
      <c r="X42" s="5">
        <f t="shared" si="0"/>
        <v>0</v>
      </c>
      <c r="Y42" s="5">
        <f t="shared" si="0"/>
        <v>0</v>
      </c>
      <c r="Z42" s="5">
        <f t="shared" si="0"/>
        <v>0</v>
      </c>
      <c r="AA42" s="5">
        <f t="shared" si="0"/>
        <v>0</v>
      </c>
      <c r="AB42" s="5">
        <f t="shared" si="0"/>
        <v>0</v>
      </c>
      <c r="AC42" s="5">
        <f t="shared" si="0"/>
        <v>0</v>
      </c>
      <c r="AD42" s="5">
        <f t="shared" si="0"/>
        <v>0</v>
      </c>
      <c r="AE42" s="5">
        <f t="shared" si="0"/>
        <v>0</v>
      </c>
      <c r="AF42" s="5">
        <f t="shared" si="0"/>
        <v>0</v>
      </c>
      <c r="AG42" s="5">
        <f t="shared" si="0"/>
        <v>0</v>
      </c>
      <c r="AH42" s="5">
        <f t="shared" si="0"/>
        <v>0</v>
      </c>
    </row>
    <row r="43" spans="1:34" x14ac:dyDescent="0.4">
      <c r="A43" s="1" t="s">
        <v>75</v>
      </c>
      <c r="B43" s="5">
        <f t="shared" ref="B43:AH43" si="1">B42*B2</f>
        <v>0</v>
      </c>
      <c r="C43" s="5">
        <f t="shared" si="1"/>
        <v>0</v>
      </c>
      <c r="D43" s="5">
        <f t="shared" si="1"/>
        <v>0</v>
      </c>
      <c r="E43" s="5">
        <f t="shared" si="1"/>
        <v>0</v>
      </c>
      <c r="F43" s="5">
        <f t="shared" si="1"/>
        <v>0</v>
      </c>
      <c r="G43" s="5">
        <f t="shared" si="1"/>
        <v>0</v>
      </c>
      <c r="H43" s="5">
        <f t="shared" si="1"/>
        <v>0</v>
      </c>
      <c r="I43" s="5">
        <f t="shared" si="1"/>
        <v>0</v>
      </c>
      <c r="J43" s="5">
        <f t="shared" si="1"/>
        <v>0</v>
      </c>
      <c r="K43" s="5">
        <f t="shared" si="1"/>
        <v>0</v>
      </c>
      <c r="L43" s="5">
        <f t="shared" si="1"/>
        <v>0</v>
      </c>
      <c r="M43" s="5">
        <f t="shared" si="1"/>
        <v>0</v>
      </c>
      <c r="N43" s="5">
        <f t="shared" si="1"/>
        <v>0</v>
      </c>
      <c r="O43" s="5">
        <f t="shared" si="1"/>
        <v>0</v>
      </c>
      <c r="P43" s="5">
        <f t="shared" si="1"/>
        <v>0</v>
      </c>
      <c r="Q43" s="5">
        <f t="shared" si="1"/>
        <v>0</v>
      </c>
      <c r="R43" s="5">
        <f t="shared" si="1"/>
        <v>160</v>
      </c>
      <c r="S43" s="5">
        <f t="shared" si="1"/>
        <v>4130</v>
      </c>
      <c r="T43" s="5">
        <f t="shared" si="1"/>
        <v>0</v>
      </c>
      <c r="U43" s="5">
        <f t="shared" si="1"/>
        <v>0</v>
      </c>
      <c r="V43" s="5">
        <f t="shared" si="1"/>
        <v>0</v>
      </c>
      <c r="W43" s="5">
        <f t="shared" si="1"/>
        <v>0</v>
      </c>
      <c r="X43" s="5">
        <f t="shared" si="1"/>
        <v>0</v>
      </c>
      <c r="Y43" s="5">
        <f t="shared" si="1"/>
        <v>0</v>
      </c>
      <c r="Z43" s="5">
        <f t="shared" si="1"/>
        <v>0</v>
      </c>
      <c r="AA43" s="5" t="e">
        <f t="shared" si="1"/>
        <v>#VALUE!</v>
      </c>
      <c r="AB43" s="5" t="e">
        <f t="shared" si="1"/>
        <v>#VALUE!</v>
      </c>
      <c r="AC43" s="5">
        <f t="shared" si="1"/>
        <v>0</v>
      </c>
      <c r="AD43" s="5" t="e">
        <f t="shared" si="1"/>
        <v>#VALUE!</v>
      </c>
      <c r="AE43" s="5">
        <f t="shared" si="1"/>
        <v>0</v>
      </c>
      <c r="AF43" s="5">
        <f t="shared" si="1"/>
        <v>0</v>
      </c>
      <c r="AG43" s="5">
        <f t="shared" si="1"/>
        <v>0</v>
      </c>
      <c r="AH43" s="5">
        <f t="shared" si="1"/>
        <v>0</v>
      </c>
    </row>
  </sheetData>
  <dataValidations count="1">
    <dataValidation type="list" allowBlank="1" showInputMessage="1" showErrorMessage="1" sqref="B5:AH40" xr:uid="{00000000-0002-0000-0000-000000000000}">
      <formula1>"☐,☑"</formula1>
    </dataValidation>
  </dataValidation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I7" sqref="I7"/>
    </sheetView>
  </sheetViews>
  <sheetFormatPr defaultRowHeight="14.6" x14ac:dyDescent="0.4"/>
  <cols>
    <col min="1" max="1" width="11.69140625" customWidth="1"/>
    <col min="2" max="2" width="8.69140625" customWidth="1"/>
    <col min="3" max="3" width="8.3046875" customWidth="1"/>
    <col min="4" max="4" width="6" customWidth="1"/>
    <col min="5" max="5" width="8" customWidth="1"/>
    <col min="6" max="6" width="9" customWidth="1"/>
    <col min="7" max="7" width="5.53515625" customWidth="1"/>
    <col min="8" max="8" width="8.3828125" customWidth="1"/>
    <col min="9" max="9" width="6.15234375" customWidth="1"/>
    <col min="10" max="10" width="5.3046875" customWidth="1"/>
  </cols>
  <sheetData>
    <row r="1" spans="1:10" s="1" customFormat="1" x14ac:dyDescent="0.4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</row>
    <row r="2" spans="1:10" x14ac:dyDescent="0.4">
      <c r="A2" t="s">
        <v>86</v>
      </c>
      <c r="B2" s="2" t="s">
        <v>38</v>
      </c>
      <c r="C2" s="2" t="s">
        <v>38</v>
      </c>
      <c r="D2" s="2" t="s">
        <v>38</v>
      </c>
      <c r="E2" s="2" t="s">
        <v>38</v>
      </c>
    </row>
    <row r="3" spans="1:10" x14ac:dyDescent="0.4">
      <c r="A3" t="s">
        <v>87</v>
      </c>
      <c r="B3" s="2" t="s">
        <v>88</v>
      </c>
      <c r="C3" s="2" t="s">
        <v>38</v>
      </c>
      <c r="D3" s="2" t="s">
        <v>38</v>
      </c>
      <c r="E3" s="2" t="s">
        <v>88</v>
      </c>
      <c r="F3">
        <v>135</v>
      </c>
      <c r="G3">
        <v>36</v>
      </c>
      <c r="J3">
        <f>(F3*G3)+(F3*0.5*H3)</f>
        <v>4860</v>
      </c>
    </row>
  </sheetData>
  <dataValidations count="1">
    <dataValidation type="list" allowBlank="1" showInputMessage="1" showErrorMessage="1" sqref="B2:E3" xr:uid="{00000000-0002-0000-0100-000000000000}">
      <formula1>"☐,☑"</formula1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ExcusionSales</vt:lpstr>
      <vt:lpstr>BaseServices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ersen celebi</cp:lastModifiedBy>
  <dcterms:created xsi:type="dcterms:W3CDTF">2026-08-06T08:58:03Z</dcterms:created>
  <dcterms:modified xsi:type="dcterms:W3CDTF">2026-08-06T09:11:00Z</dcterms:modified>
</cp:coreProperties>
</file>