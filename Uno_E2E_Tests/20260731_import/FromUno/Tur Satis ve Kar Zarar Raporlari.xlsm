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0-17 MAY" sheetId="1" r:id="rId4"/>
    <sheet state="visible" name="17-24 MAY" sheetId="2" r:id="rId5"/>
    <sheet state="visible" name="22-29 MAY" sheetId="3" r:id="rId6"/>
    <sheet state="visible" name="24-31 MAY" sheetId="4" r:id="rId7"/>
    <sheet state="visible" name="7-14 Jun" sheetId="5" r:id="rId8"/>
    <sheet state="visible" name="14-21 JUN" sheetId="6" r:id="rId9"/>
    <sheet state="visible" name="21-28.6" sheetId="7" r:id="rId10"/>
    <sheet state="visible" name="26.6-3.7" sheetId="8" r:id="rId11"/>
    <sheet state="visible" name="28.6-5.7" sheetId="9" r:id="rId12"/>
    <sheet state="visible" name="3-10.7" sheetId="10" r:id="rId13"/>
    <sheet state="visible" name="Ayhan Grubu" sheetId="11" r:id="rId14"/>
    <sheet state="visible" name="5-12.7." sheetId="12" r:id="rId15"/>
    <sheet state="visible" name="10-17.7." sheetId="13" r:id="rId16"/>
    <sheet state="visible" name="12-19.7." sheetId="14" r:id="rId17"/>
    <sheet state="visible" name="19-26.7." sheetId="15" r:id="rId18"/>
    <sheet state="visible" name="ÖRNEK TAM HESAP" sheetId="16" r:id="rId19"/>
  </sheets>
  <definedNames/>
  <calcPr/>
  <extLst>
    <ext uri="GoogleSheetsCustomDataVersion2">
      <go:sheetsCustomData xmlns:go="http://customooxmlschemas.google.com/" r:id="rId20" roundtripDataChecksum="JWdpzyAbQBBnNVEEKa4+08M6Oc3GhZFPSvRB9XPfPqY="/>
    </ext>
  </extLst>
</workbook>
</file>

<file path=xl/sharedStrings.xml><?xml version="1.0" encoding="utf-8"?>
<sst xmlns="http://schemas.openxmlformats.org/spreadsheetml/2006/main" count="938" uniqueCount="175">
  <si>
    <t>W TATIL-UNO | Rehber Hesap Formu</t>
  </si>
  <si>
    <t>TUR ADI</t>
  </si>
  <si>
    <t>Orta Avrupa</t>
  </si>
  <si>
    <t>TUR TARİHİ</t>
  </si>
  <si>
    <t>KISI SAYISI</t>
  </si>
  <si>
    <t>REHBER ADI</t>
  </si>
  <si>
    <t>Levent Orbay</t>
  </si>
  <si>
    <t xml:space="preserve">Otobus firma: Darojkovic </t>
  </si>
  <si>
    <t>Petar SOLDAT</t>
  </si>
  <si>
    <t>ZG5050GT</t>
  </si>
  <si>
    <t>Turgut Akyol</t>
  </si>
  <si>
    <t>TAD</t>
  </si>
  <si>
    <t xml:space="preserve">Sofor Tel: </t>
  </si>
  <si>
    <t>`+381 63 524392</t>
  </si>
  <si>
    <t>Extra tur gelirleri:</t>
  </si>
  <si>
    <t>KİŞİ ADEDİ</t>
  </si>
  <si>
    <t>TUR FİYATI</t>
  </si>
  <si>
    <t>TOPLAM EURO</t>
  </si>
  <si>
    <t>SİSTEM SATIŞI</t>
  </si>
  <si>
    <t xml:space="preserve">NAKIT SATIŞ </t>
  </si>
  <si>
    <t>Zorunlu ödeme 1</t>
  </si>
  <si>
    <t>Zorunlu ödeme 2</t>
  </si>
  <si>
    <t>1 INF</t>
  </si>
  <si>
    <t>GELİRLER TOPLAMI (+)</t>
  </si>
  <si>
    <t>EXTRA TUR SATIS GELIRI- TOPLAM</t>
  </si>
  <si>
    <t>EXTRA TUR GIDERLERI</t>
  </si>
  <si>
    <t>otobus nakit</t>
  </si>
  <si>
    <t>sofor yemek + tako</t>
  </si>
  <si>
    <t>Tuna tekne</t>
  </si>
  <si>
    <t>ortoparklar</t>
  </si>
  <si>
    <t>extra tur girisleri vb</t>
  </si>
  <si>
    <t>otoparklar</t>
  </si>
  <si>
    <t>sofor bahsis</t>
  </si>
  <si>
    <t>Viyana Konser</t>
  </si>
  <si>
    <t>Ortacag</t>
  </si>
  <si>
    <t>toplam extra tur gideri</t>
  </si>
  <si>
    <t>Cigan</t>
  </si>
  <si>
    <t>Cek gecesi</t>
  </si>
  <si>
    <t>REHBER YEVMIYE</t>
  </si>
  <si>
    <t>REHBER EXTRA HAKEDIS</t>
  </si>
  <si>
    <t>GİDERLER TOPLAMI (+)</t>
  </si>
  <si>
    <t>TURUN ADI</t>
  </si>
  <si>
    <t>otobus havale</t>
  </si>
  <si>
    <t>KALAN</t>
  </si>
  <si>
    <t>W tatil payi</t>
  </si>
  <si>
    <t>Uno Payi</t>
  </si>
  <si>
    <t>Sistem satisi dustukten sonra: WTATIL</t>
  </si>
  <si>
    <t>PAKET SATIŞI gunduz</t>
  </si>
  <si>
    <t>PAKET SATIŞI gece</t>
  </si>
  <si>
    <t>SİSTEM SATIŞI gunduz</t>
  </si>
  <si>
    <t>SİSTEM SATIŞI gece</t>
  </si>
  <si>
    <t>Orta Avrupa PRG-BUD</t>
  </si>
  <si>
    <t>Vltava tekne</t>
  </si>
  <si>
    <t>Hallstatt</t>
  </si>
  <si>
    <t>Cesky Krumlov</t>
  </si>
  <si>
    <t>WTATIL Kesile fatura</t>
  </si>
  <si>
    <t>Prag Olympik</t>
  </si>
  <si>
    <t>Viyana Allegro</t>
  </si>
  <si>
    <t>Budapeste Canada</t>
  </si>
  <si>
    <t xml:space="preserve">Kisi basi otel ortalama fiyati: </t>
  </si>
  <si>
    <t>Toplam Kar/zarar</t>
  </si>
  <si>
    <t xml:space="preserve"> </t>
  </si>
  <si>
    <t>Budapeste</t>
  </si>
  <si>
    <t xml:space="preserve">lisi basi otel ortalama fiyati: </t>
  </si>
  <si>
    <t>Hallstatt+ Cesky Krumlov</t>
  </si>
  <si>
    <t>Kaffeemühle</t>
  </si>
  <si>
    <t>Allegro</t>
  </si>
  <si>
    <t>Ayhan grubu</t>
  </si>
  <si>
    <t>Olympik tax odeme</t>
  </si>
  <si>
    <t>WTATIL Kesilen fatura</t>
  </si>
  <si>
    <t>YTS  Kesilen fatura</t>
  </si>
  <si>
    <t>Modena</t>
  </si>
  <si>
    <t>Olympik</t>
  </si>
  <si>
    <t>TUR OPERASYON KÂR / ZARAR — TAM DOLU ÖRNEK</t>
  </si>
  <si>
    <t>Kaynak: “7-14 Jun” sekmesindeki gerçekleşen rakamlar. Ödeme kaynağı alanları örnek sınıflandırmadır.</t>
  </si>
  <si>
    <t>Levent</t>
  </si>
  <si>
    <t>Operasyon No</t>
  </si>
  <si>
    <t>07140626OA</t>
  </si>
  <si>
    <t>Tur</t>
  </si>
  <si>
    <t>Pax</t>
  </si>
  <si>
    <t>Operatör</t>
  </si>
  <si>
    <t>WTATIL</t>
  </si>
  <si>
    <t>Başlangıç</t>
  </si>
  <si>
    <t>07.06.2026</t>
  </si>
  <si>
    <t>Bitiş</t>
  </si>
  <si>
    <t>14.06.2026</t>
  </si>
  <si>
    <t>Rehber</t>
  </si>
  <si>
    <t>Para Birimi</t>
  </si>
  <si>
    <t>EUR</t>
  </si>
  <si>
    <t>Hizmet Modeli</t>
  </si>
  <si>
    <t>Tam Operasyon</t>
  </si>
  <si>
    <t>Hesap Durumu</t>
  </si>
  <si>
    <t>Gerçekleşen</t>
  </si>
  <si>
    <t>Kaynak Sekme</t>
  </si>
  <si>
    <t>7-14 Jun</t>
  </si>
  <si>
    <t>Versiyon</t>
  </si>
  <si>
    <t>Örnek v1</t>
  </si>
  <si>
    <t>Kesin Operasyon Sonucu</t>
  </si>
  <si>
    <t>Extra Tur Net Katkısı</t>
  </si>
  <si>
    <t>Toplam Kâr / Zarar</t>
  </si>
  <si>
    <t>Kâr Marjı</t>
  </si>
  <si>
    <t>GELİRLER</t>
  </si>
  <si>
    <t>Ana Kategori</t>
  </si>
  <si>
    <t>Açıklama</t>
  </si>
  <si>
    <t>Adet</t>
  </si>
  <si>
    <t>Birim €</t>
  </si>
  <si>
    <t>Tutar €</t>
  </si>
  <si>
    <t>Nitelik</t>
  </si>
  <si>
    <t>Tahsilat Yeri</t>
  </si>
  <si>
    <t>Durum</t>
  </si>
  <si>
    <t>Fatura</t>
  </si>
  <si>
    <t>Operatöre kesilen hizmet faturası</t>
  </si>
  <si>
    <t>Kesin</t>
  </si>
  <si>
    <t>UNO banka</t>
  </si>
  <si>
    <t>Tahakkuk</t>
  </si>
  <si>
    <t>Tax</t>
  </si>
  <si>
    <t>Zorunlu ödeme — 24 pax × 150 €</t>
  </si>
  <si>
    <t>Rehber kasası</t>
  </si>
  <si>
    <t>Tahsil edildi</t>
  </si>
  <si>
    <t>Extra Tur</t>
  </si>
  <si>
    <t>Sistem satışı — gündüz</t>
  </si>
  <si>
    <t>Satışa Bağlı</t>
  </si>
  <si>
    <t>Sistem/kart</t>
  </si>
  <si>
    <t>Sistem satışı — gece</t>
  </si>
  <si>
    <t>Rehber nakit satışları</t>
  </si>
  <si>
    <t>Kesin Gelir Toplamı</t>
  </si>
  <si>
    <t>Fatura + tax</t>
  </si>
  <si>
    <t>Extra Tur Satış Toplamı</t>
  </si>
  <si>
    <t>Nakit + sistem/kart satışları</t>
  </si>
  <si>
    <t>TOPLAM GELİR</t>
  </si>
  <si>
    <t>Kesin gelir + satışa bağlı gelir</t>
  </si>
  <si>
    <t>GİDERLER</t>
  </si>
  <si>
    <t>Ödeyen Kasa</t>
  </si>
  <si>
    <t>Otel</t>
  </si>
  <si>
    <t>Ödendi</t>
  </si>
  <si>
    <t>Budapeşte</t>
  </si>
  <si>
    <t>Otobüs</t>
  </si>
  <si>
    <t>Otobüs baz fiyatı / havale</t>
  </si>
  <si>
    <t>Operasyon</t>
  </si>
  <si>
    <t>Otoparklar</t>
  </si>
  <si>
    <t>Şoför yemek + toll</t>
  </si>
  <si>
    <t>Şoför bahşiş</t>
  </si>
  <si>
    <t>Rehber yevmiye</t>
  </si>
  <si>
    <t>Kaynak sekmedeki ek sabit ödeme</t>
  </si>
  <si>
    <t>Český Krumlov</t>
  </si>
  <si>
    <t>Viyana konser</t>
  </si>
  <si>
    <t>Orta Çağ programı</t>
  </si>
  <si>
    <t>Çigan gecesi</t>
  </si>
  <si>
    <t>Çek gecesi</t>
  </si>
  <si>
    <t>Extra tur satış komisyonu — %10</t>
  </si>
  <si>
    <t>Kesin Gider Toplamı</t>
  </si>
  <si>
    <t>Otel + otobüs + rehber sabit + zorunlu operasyon</t>
  </si>
  <si>
    <t>Satışa Bağlı Gider Toplamı</t>
  </si>
  <si>
    <t>Extra tur maliyetleri + rehber komisyonu</t>
  </si>
  <si>
    <t>TOPLAM GİDER</t>
  </si>
  <si>
    <t>Kesin gider + satışa bağlı gider</t>
  </si>
  <si>
    <t>SONUÇ</t>
  </si>
  <si>
    <t>Extra tur hiç satılmasaydı oluşacak sonuç</t>
  </si>
  <si>
    <t>Satışların giderlerden sonra bıraktığı katkı</t>
  </si>
  <si>
    <t>TOPLAM KÂR / ZARAR</t>
  </si>
  <si>
    <t>Kesin operasyon sonucu + extra tur katkısı</t>
  </si>
  <si>
    <t>Toplam kâr / toplam gelir</t>
  </si>
  <si>
    <t>REHBER KASA MUTABAKATI</t>
  </si>
  <si>
    <t>Rehber nakit extra satış</t>
  </si>
  <si>
    <t>Nakit giriş</t>
  </si>
  <si>
    <t>Rehber nakit tax tahsilatı</t>
  </si>
  <si>
    <t>Şirketten alınan avans</t>
  </si>
  <si>
    <t>Rehber kasasından ödenen giderler</t>
  </si>
  <si>
    <t>Nakit çıkış</t>
  </si>
  <si>
    <t>Şirkete/Deniz’e teslim edilen tax</t>
  </si>
  <si>
    <t>Transfer — gider değildir</t>
  </si>
  <si>
    <t>Diğer teslim edilen nakit</t>
  </si>
  <si>
    <t>REHBERDE KALMASI GEREKEN NAKİT</t>
  </si>
  <si>
    <t>Kasa kontrolü</t>
  </si>
  <si>
    <t>Not: Fatura, tax ve tüm extra tur satışları şirket geliridir. Tahsilatın rehber, banka veya kart hesabında olması yalnız kasa konumunu değiştirir. Tax teslimi gider değil, kasalar arası transferdir.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</si>
</sst>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[$-405]d/m/yyyy"/>
    <numFmt numFmtId="165" formatCode="#,##0.00\ [$€-407]"/>
    <numFmt numFmtId="166" formatCode="#,##0\ [$€-1];[Red]\-#,##0\ [$€-1]"/>
    <numFmt numFmtId="167" formatCode="d.m"/>
    <numFmt numFmtId="168" formatCode="#,##0\ [$€-1]"/>
    <numFmt numFmtId="169" formatCode="#,##0.00 &quot;€&quot;;[Red](#,##0.00 &quot;€&quot;);-"/>
    <numFmt numFmtId="170" formatCode="0.0%"/>
    <numFmt numFmtId="171" formatCode="#,##0.0"/>
  </numFmts>
  <fonts count="38">
    <font>
      <sz val="12.0"/>
      <color theme="1"/>
      <name val="Aptos Narrow"/>
      <scheme val="minor"/>
    </font>
    <font>
      <b/>
      <sz val="22.0"/>
      <color rgb="FF000000"/>
      <name val="Cambria"/>
    </font>
    <font/>
    <font>
      <i/>
      <sz val="11.0"/>
      <color rgb="FF000000"/>
      <name val="Calibri"/>
    </font>
    <font>
      <sz val="12.0"/>
      <color rgb="FF000000"/>
      <name val="Calibri"/>
    </font>
    <font>
      <i/>
      <sz val="12.0"/>
      <color rgb="FF000000"/>
      <name val="Calibri"/>
    </font>
    <font>
      <b/>
      <i/>
      <sz val="12.0"/>
      <color rgb="FF000000"/>
      <name val="Calibri"/>
    </font>
    <font>
      <b/>
      <sz val="12.0"/>
      <color rgb="FF3F3F76"/>
      <name val="Calibri"/>
    </font>
    <font>
      <sz val="12.0"/>
      <color rgb="FF3F3F76"/>
      <name val="Calibri"/>
    </font>
    <font>
      <b/>
      <sz val="12.0"/>
      <color rgb="FF000000"/>
      <name val="Calibri"/>
    </font>
    <font>
      <b/>
      <sz val="12.0"/>
      <color theme="1"/>
      <name val="Calibri"/>
    </font>
    <font>
      <sz val="12.0"/>
      <color theme="1"/>
      <name val="Calibri"/>
    </font>
    <font>
      <b/>
      <sz val="12.0"/>
      <color rgb="FF3F3F3F"/>
      <name val="Calibri"/>
    </font>
    <font>
      <sz val="12.0"/>
      <color rgb="FF3F3F3F"/>
      <name val="Calibri"/>
    </font>
    <font>
      <b/>
      <sz val="13.0"/>
      <color theme="1"/>
      <name val="Aptos Narrow"/>
    </font>
    <font>
      <b/>
      <sz val="18.0"/>
      <color theme="1"/>
      <name val="Aptos Narrow"/>
    </font>
    <font>
      <sz val="16.0"/>
      <color theme="1"/>
      <name val="Calibri"/>
    </font>
    <font>
      <sz val="16.0"/>
      <color rgb="FF000000"/>
      <name val="Calibri"/>
    </font>
    <font>
      <b/>
      <sz val="12.0"/>
      <color rgb="FFFF0000"/>
      <name val="Cambria"/>
    </font>
    <font>
      <b/>
      <sz val="16.0"/>
      <color rgb="FF000000"/>
      <name val="Calibri"/>
    </font>
    <font>
      <color theme="1"/>
      <name val="Aptos Narrow"/>
    </font>
    <font>
      <sz val="14.0"/>
      <color theme="1"/>
      <name val="Aptos Narrow"/>
    </font>
    <font>
      <sz val="16.0"/>
      <color theme="1"/>
      <name val="Aptos Narrow"/>
    </font>
    <font>
      <b/>
      <sz val="16.0"/>
      <color rgb="FF0070C0"/>
      <name val="Aptos Narrow"/>
    </font>
    <font>
      <sz val="12.0"/>
      <color theme="1"/>
      <name val="Aptos Narrow"/>
    </font>
    <font>
      <sz val="14.0"/>
      <color theme="1"/>
      <name val="Arial"/>
    </font>
    <font>
      <color theme="1"/>
      <name val="Arial"/>
    </font>
    <font>
      <b/>
      <sz val="16.0"/>
      <color rgb="FFFF0000"/>
      <name val="Aptos Narrow"/>
    </font>
    <font>
      <b/>
      <sz val="15.0"/>
      <color rgb="FF0070C0"/>
      <name val="Aptos Narrow"/>
    </font>
    <font>
      <b/>
      <sz val="16.0"/>
      <color rgb="FFFFFFFF"/>
      <name val="Arial"/>
    </font>
    <font>
      <i/>
      <sz val="10.0"/>
      <color rgb="FF595959"/>
      <name val="Arial"/>
    </font>
    <font>
      <sz val="12.0"/>
      <color theme="1"/>
      <name val="Arial"/>
    </font>
    <font>
      <b/>
      <sz val="12.0"/>
      <color rgb="FF595959"/>
      <name val="Arial"/>
    </font>
    <font>
      <b/>
      <sz val="12.0"/>
      <color rgb="FFFFFFFF"/>
      <name val="Arial"/>
    </font>
    <font>
      <b/>
      <sz val="13.0"/>
      <color theme="1"/>
      <name val="Arial"/>
    </font>
    <font>
      <b/>
      <sz val="12.0"/>
      <color rgb="FF1F4E78"/>
      <name val="Arial"/>
    </font>
    <font>
      <b/>
      <sz val="12.0"/>
      <color theme="1"/>
      <name val="Arial"/>
    </font>
    <font>
      <i/>
      <sz val="12.0"/>
      <color rgb="FF595959"/>
      <name val="Arial"/>
    </font>
  </fonts>
  <fills count="24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CAEDFB"/>
        <bgColor rgb="FFCAEDFB"/>
      </patternFill>
    </fill>
    <fill>
      <patternFill patternType="solid">
        <fgColor theme="5"/>
        <bgColor theme="5"/>
      </patternFill>
    </fill>
    <fill>
      <patternFill patternType="solid">
        <fgColor rgb="FFE49EDD"/>
        <bgColor rgb="FFE49EDD"/>
      </patternFill>
    </fill>
    <fill>
      <patternFill patternType="solid">
        <fgColor rgb="FFC1E4F5"/>
        <bgColor rgb="FFC1E4F5"/>
      </patternFill>
    </fill>
    <fill>
      <patternFill patternType="solid">
        <fgColor rgb="FFF2F2F2"/>
        <bgColor rgb="FFF2F2F2"/>
      </patternFill>
    </fill>
    <fill>
      <patternFill patternType="solid">
        <fgColor rgb="FFEB73E2"/>
        <bgColor rgb="FFEB73E2"/>
      </patternFill>
    </fill>
    <fill>
      <patternFill patternType="solid">
        <fgColor rgb="FF00ACFF"/>
        <bgColor rgb="FF00ACFF"/>
      </patternFill>
    </fill>
    <fill>
      <patternFill patternType="solid">
        <fgColor rgb="FFFF919F"/>
        <bgColor rgb="FFFF919F"/>
      </patternFill>
    </fill>
    <fill>
      <patternFill patternType="solid">
        <fgColor rgb="FF1F4E78"/>
        <bgColor rgb="FF1F4E78"/>
      </patternFill>
    </fill>
    <fill>
      <patternFill patternType="solid">
        <fgColor rgb="FFFFF2CC"/>
        <bgColor rgb="FFFFF2CC"/>
      </patternFill>
    </fill>
    <fill>
      <patternFill patternType="solid">
        <fgColor rgb="FFE7E6E6"/>
        <bgColor rgb="FFE7E6E6"/>
      </patternFill>
    </fill>
    <fill>
      <patternFill patternType="solid">
        <fgColor rgb="FFE2F0D9"/>
        <bgColor rgb="FFE2F0D9"/>
      </patternFill>
    </fill>
    <fill>
      <patternFill patternType="solid">
        <fgColor rgb="FFD9EAF7"/>
        <bgColor rgb="FFD9EAF7"/>
      </patternFill>
    </fill>
    <fill>
      <patternFill patternType="solid">
        <fgColor rgb="FFEAF4FB"/>
        <bgColor rgb="FFEAF4FB"/>
      </patternFill>
    </fill>
    <fill>
      <patternFill patternType="solid">
        <fgColor rgb="FFFCE4D6"/>
        <bgColor rgb="FFFCE4D6"/>
      </patternFill>
    </fill>
    <fill>
      <patternFill patternType="solid">
        <fgColor rgb="FFF4B183"/>
        <bgColor rgb="FFF4B183"/>
      </patternFill>
    </fill>
    <fill>
      <patternFill patternType="solid">
        <fgColor rgb="FFC6E0B4"/>
        <bgColor rgb="FFC6E0B4"/>
      </patternFill>
    </fill>
    <fill>
      <patternFill patternType="solid">
        <fgColor rgb="FFF4CCCC"/>
        <bgColor rgb="FFF4CCCC"/>
      </patternFill>
    </fill>
    <fill>
      <patternFill patternType="solid">
        <fgColor rgb="FFFCE8E6"/>
        <bgColor rgb="FFFCE8E6"/>
      </patternFill>
    </fill>
    <fill>
      <patternFill patternType="solid">
        <fgColor rgb="FFD9B3E6"/>
        <bgColor rgb="FFD9B3E6"/>
      </patternFill>
    </fill>
    <fill>
      <patternFill patternType="solid">
        <fgColor rgb="FFF2E5F5"/>
        <bgColor rgb="FFF2E5F5"/>
      </patternFill>
    </fill>
  </fills>
  <borders count="41">
    <border/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  <right style="thin">
        <color rgb="FF7F7F7F"/>
      </right>
    </border>
    <border>
      <right style="medium">
        <color rgb="FF000000"/>
      </right>
    </border>
    <border>
      <left style="thin">
        <color rgb="FF000000"/>
      </left>
      <right style="thin">
        <color rgb="FF7F7F7F"/>
      </right>
      <top style="thin">
        <color rgb="FF000000"/>
      </top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000000"/>
      </top>
      <bottom style="thin">
        <color rgb="FF7F7F7F"/>
      </bottom>
    </border>
    <border>
      <left style="thin">
        <color rgb="FF7F7F7F"/>
      </left>
      <right style="thin">
        <color rgb="FF000000"/>
      </right>
      <top style="thin">
        <color rgb="FF000000"/>
      </top>
      <bottom style="thin">
        <color rgb="FF7F7F7F"/>
      </bottom>
    </border>
    <border>
      <left style="thin">
        <color rgb="FF000000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>
        <color rgb="FF7F7F7F"/>
      </left>
      <right style="thin">
        <color rgb="FF000000"/>
      </right>
      <top style="thin">
        <color rgb="FF7F7F7F"/>
      </top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</border>
    <border>
      <left style="thin">
        <color rgb="FF7F7F7F"/>
      </left>
      <right style="thin">
        <color rgb="FF000000"/>
      </right>
      <top style="thin">
        <color rgb="FF7F7F7F"/>
      </top>
    </border>
    <border>
      <left style="thin">
        <color rgb="FF000000"/>
      </left>
      <top style="thin">
        <color rgb="FF7F7F7F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</border>
    <border>
      <left style="medium">
        <color rgb="FFA6A6A6"/>
      </left>
      <top style="medium">
        <color rgb="FFA6A6A6"/>
      </top>
      <bottom style="medium">
        <color rgb="FFA6A6A6"/>
      </bottom>
    </border>
    <border>
      <top style="medium">
        <color rgb="FFA6A6A6"/>
      </top>
      <bottom style="medium">
        <color rgb="FFA6A6A6"/>
      </bottom>
    </border>
    <border>
      <right style="medium">
        <color rgb="FFA6A6A6"/>
      </right>
      <top style="medium">
        <color rgb="FFA6A6A6"/>
      </top>
      <bottom style="medium">
        <color rgb="FFA6A6A6"/>
      </bottom>
    </border>
    <border>
      <left style="thin">
        <color rgb="FFA6A6A6"/>
      </left>
      <top style="thin">
        <color rgb="FFA6A6A6"/>
      </top>
      <bottom style="thin">
        <color rgb="FFA6A6A6"/>
      </bottom>
    </border>
    <border>
      <top style="thin">
        <color rgb="FFA6A6A6"/>
      </top>
      <bottom style="thin">
        <color rgb="FFA6A6A6"/>
      </bottom>
    </border>
    <border>
      <right style="thin">
        <color rgb="FFA6A6A6"/>
      </right>
      <top style="thin">
        <color rgb="FFA6A6A6"/>
      </top>
      <bottom style="thin">
        <color rgb="FFA6A6A6"/>
      </bottom>
    </border>
    <border>
      <left style="medium">
        <color rgb="FFA6A6A6"/>
      </left>
      <right style="medium">
        <color rgb="FFA6A6A6"/>
      </right>
      <top style="medium">
        <color rgb="FFA6A6A6"/>
      </top>
      <bottom style="medium">
        <color rgb="FFA6A6A6"/>
      </bottom>
    </border>
    <border>
      <left style="thin">
        <color rgb="FFA6A6A6"/>
      </left>
      <top style="thin">
        <color rgb="FFA6A6A6"/>
      </top>
    </border>
    <border>
      <top style="thin">
        <color rgb="FFA6A6A6"/>
      </top>
    </border>
    <border>
      <right style="thin">
        <color rgb="FFA6A6A6"/>
      </right>
      <top style="thin">
        <color rgb="FFA6A6A6"/>
      </top>
    </border>
    <border>
      <left style="thin">
        <color rgb="FFA6A6A6"/>
      </left>
      <bottom style="thin">
        <color rgb="FFA6A6A6"/>
      </bottom>
    </border>
    <border>
      <bottom style="thin">
        <color rgb="FFA6A6A6"/>
      </bottom>
    </border>
    <border>
      <right style="thin">
        <color rgb="FFA6A6A6"/>
      </right>
      <bottom style="thin">
        <color rgb="FFA6A6A6"/>
      </bottom>
    </border>
  </borders>
  <cellStyleXfs count="1">
    <xf borderId="0" fillId="0" fontId="0" numFmtId="0" applyAlignment="1" applyFont="1"/>
  </cellStyleXfs>
  <cellXfs count="145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4" fillId="0" fontId="3" numFmtId="0" xfId="0" applyAlignment="1" applyBorder="1" applyFont="1">
      <alignment horizontal="center" vertical="center"/>
    </xf>
    <xf borderId="5" fillId="0" fontId="2" numFmtId="0" xfId="0" applyBorder="1" applyFont="1"/>
    <xf borderId="6" fillId="0" fontId="3" numFmtId="0" xfId="0" applyAlignment="1" applyBorder="1" applyFont="1">
      <alignment vertical="center"/>
    </xf>
    <xf borderId="7" fillId="0" fontId="4" numFmtId="0" xfId="0" applyAlignment="1" applyBorder="1" applyFont="1">
      <alignment vertical="center"/>
    </xf>
    <xf borderId="8" fillId="0" fontId="5" numFmtId="0" xfId="0" applyAlignment="1" applyBorder="1" applyFont="1">
      <alignment horizontal="center" vertical="center"/>
    </xf>
    <xf borderId="8" fillId="0" fontId="2" numFmtId="0" xfId="0" applyBorder="1" applyFont="1"/>
    <xf borderId="9" fillId="0" fontId="2" numFmtId="0" xfId="0" applyBorder="1" applyFont="1"/>
    <xf borderId="1" fillId="0" fontId="4" numFmtId="0" xfId="0" applyAlignment="1" applyBorder="1" applyFont="1">
      <alignment vertical="center"/>
    </xf>
    <xf borderId="1" fillId="0" fontId="6" numFmtId="164" xfId="0" applyAlignment="1" applyBorder="1" applyFont="1" applyNumberFormat="1">
      <alignment horizontal="center" vertical="center"/>
    </xf>
    <xf borderId="2" fillId="0" fontId="5" numFmtId="0" xfId="0" applyAlignment="1" applyBorder="1" applyFont="1">
      <alignment horizontal="center" vertical="center"/>
    </xf>
    <xf borderId="3" fillId="0" fontId="6" numFmtId="164" xfId="0" applyAlignment="1" applyBorder="1" applyFont="1" applyNumberFormat="1">
      <alignment horizontal="center" vertical="center"/>
    </xf>
    <xf borderId="0" fillId="0" fontId="4" numFmtId="0" xfId="0" applyAlignment="1" applyFont="1">
      <alignment vertical="center"/>
    </xf>
    <xf borderId="0" fillId="0" fontId="5" numFmtId="0" xfId="0" applyAlignment="1" applyFont="1">
      <alignment horizontal="center" vertical="center"/>
    </xf>
    <xf borderId="10" fillId="2" fontId="4" numFmtId="0" xfId="0" applyAlignment="1" applyBorder="1" applyFill="1" applyFont="1">
      <alignment vertical="center"/>
    </xf>
    <xf borderId="8" fillId="2" fontId="4" numFmtId="0" xfId="0" applyAlignment="1" applyBorder="1" applyFont="1">
      <alignment vertical="center"/>
    </xf>
    <xf borderId="9" fillId="2" fontId="4" numFmtId="0" xfId="0" applyAlignment="1" applyBorder="1" applyFont="1">
      <alignment vertical="center"/>
    </xf>
    <xf borderId="11" fillId="2" fontId="7" numFmtId="0" xfId="0" applyAlignment="1" applyBorder="1" applyFont="1">
      <alignment vertical="center"/>
    </xf>
    <xf borderId="0" fillId="2" fontId="4" numFmtId="0" xfId="0" applyAlignment="1" applyFont="1">
      <alignment vertical="center"/>
    </xf>
    <xf borderId="12" fillId="2" fontId="4" numFmtId="0" xfId="0" applyAlignment="1" applyBorder="1" applyFont="1">
      <alignment vertical="center"/>
    </xf>
    <xf borderId="13" fillId="3" fontId="7" numFmtId="0" xfId="0" applyAlignment="1" applyBorder="1" applyFill="1" applyFont="1">
      <alignment vertical="center"/>
    </xf>
    <xf borderId="14" fillId="3" fontId="7" numFmtId="0" xfId="0" applyAlignment="1" applyBorder="1" applyFont="1">
      <alignment horizontal="center" vertical="center"/>
    </xf>
    <xf borderId="15" fillId="3" fontId="7" numFmtId="0" xfId="0" applyAlignment="1" applyBorder="1" applyFont="1">
      <alignment horizontal="center" vertical="center"/>
    </xf>
    <xf borderId="16" fillId="3" fontId="8" numFmtId="0" xfId="0" applyAlignment="1" applyBorder="1" applyFont="1">
      <alignment horizontal="left" vertical="center"/>
    </xf>
    <xf borderId="17" fillId="3" fontId="8" numFmtId="0" xfId="0" applyAlignment="1" applyBorder="1" applyFont="1">
      <alignment vertical="center"/>
    </xf>
    <xf borderId="17" fillId="3" fontId="8" numFmtId="165" xfId="0" applyAlignment="1" applyBorder="1" applyFont="1" applyNumberFormat="1">
      <alignment vertical="center"/>
    </xf>
    <xf borderId="18" fillId="3" fontId="8" numFmtId="165" xfId="0" applyAlignment="1" applyBorder="1" applyFont="1" applyNumberFormat="1">
      <alignment horizontal="center" vertical="center"/>
    </xf>
    <xf borderId="19" fillId="3" fontId="8" numFmtId="0" xfId="0" applyAlignment="1" applyBorder="1" applyFont="1">
      <alignment vertical="center"/>
    </xf>
    <xf borderId="19" fillId="3" fontId="8" numFmtId="165" xfId="0" applyAlignment="1" applyBorder="1" applyFont="1" applyNumberFormat="1">
      <alignment vertical="center"/>
    </xf>
    <xf borderId="20" fillId="3" fontId="8" numFmtId="165" xfId="0" applyAlignment="1" applyBorder="1" applyFont="1" applyNumberFormat="1">
      <alignment horizontal="center" vertical="center"/>
    </xf>
    <xf borderId="21" fillId="3" fontId="7" numFmtId="0" xfId="0" applyAlignment="1" applyBorder="1" applyFont="1">
      <alignment vertical="center"/>
    </xf>
    <xf borderId="22" fillId="3" fontId="9" numFmtId="0" xfId="0" applyAlignment="1" applyBorder="1" applyFont="1">
      <alignment vertical="center"/>
    </xf>
    <xf borderId="22" fillId="3" fontId="7" numFmtId="165" xfId="0" applyAlignment="1" applyBorder="1" applyFont="1" applyNumberFormat="1">
      <alignment horizontal="center" vertical="center"/>
    </xf>
    <xf borderId="0" fillId="4" fontId="10" numFmtId="0" xfId="0" applyAlignment="1" applyFill="1" applyFont="1">
      <alignment vertical="center"/>
    </xf>
    <xf borderId="0" fillId="4" fontId="11" numFmtId="0" xfId="0" applyAlignment="1" applyFont="1">
      <alignment vertical="center"/>
    </xf>
    <xf borderId="0" fillId="4" fontId="10" numFmtId="165" xfId="0" applyAlignment="1" applyFont="1" applyNumberFormat="1">
      <alignment horizontal="center" vertical="center"/>
    </xf>
    <xf borderId="23" fillId="5" fontId="12" numFmtId="0" xfId="0" applyAlignment="1" applyBorder="1" applyFill="1" applyFont="1">
      <alignment vertical="center"/>
    </xf>
    <xf borderId="0" fillId="5" fontId="4" numFmtId="0" xfId="0" applyAlignment="1" applyFont="1">
      <alignment vertical="center"/>
    </xf>
    <xf borderId="23" fillId="6" fontId="12" numFmtId="0" xfId="0" applyAlignment="1" applyBorder="1" applyFill="1" applyFont="1">
      <alignment vertical="center"/>
    </xf>
    <xf borderId="23" fillId="6" fontId="12" numFmtId="0" xfId="0" applyAlignment="1" applyBorder="1" applyFont="1">
      <alignment horizontal="center" vertical="center"/>
    </xf>
    <xf borderId="23" fillId="6" fontId="13" numFmtId="0" xfId="0" applyAlignment="1" applyBorder="1" applyFont="1">
      <alignment vertical="center"/>
    </xf>
    <xf borderId="23" fillId="6" fontId="13" numFmtId="0" xfId="0" applyAlignment="1" applyBorder="1" applyFont="1">
      <alignment horizontal="center" vertical="center"/>
    </xf>
    <xf borderId="23" fillId="6" fontId="13" numFmtId="165" xfId="0" applyAlignment="1" applyBorder="1" applyFont="1" applyNumberFormat="1">
      <alignment horizontal="center" vertical="center"/>
    </xf>
    <xf borderId="0" fillId="0" fontId="14" numFmtId="0" xfId="0" applyFont="1"/>
    <xf borderId="0" fillId="0" fontId="15" numFmtId="0" xfId="0" applyFont="1"/>
    <xf borderId="23" fillId="7" fontId="12" numFmtId="0" xfId="0" applyAlignment="1" applyBorder="1" applyFill="1" applyFont="1">
      <alignment vertical="center"/>
    </xf>
    <xf borderId="0" fillId="0" fontId="4" numFmtId="0" xfId="0" applyAlignment="1" applyFont="1">
      <alignment horizontal="center" vertical="center"/>
    </xf>
    <xf borderId="23" fillId="7" fontId="12" numFmtId="165" xfId="0" applyAlignment="1" applyBorder="1" applyFont="1" applyNumberFormat="1">
      <alignment horizontal="center" vertical="center"/>
    </xf>
    <xf borderId="23" fillId="7" fontId="12" numFmtId="0" xfId="0" applyAlignment="1" applyBorder="1" applyFont="1">
      <alignment horizontal="center" vertical="center"/>
    </xf>
    <xf borderId="23" fillId="7" fontId="13" numFmtId="0" xfId="0" applyAlignment="1" applyBorder="1" applyFont="1">
      <alignment vertical="center"/>
    </xf>
    <xf borderId="23" fillId="7" fontId="13" numFmtId="165" xfId="0" applyAlignment="1" applyBorder="1" applyFont="1" applyNumberFormat="1">
      <alignment vertical="center"/>
    </xf>
    <xf borderId="0" fillId="0" fontId="9" numFmtId="0" xfId="0" applyAlignment="1" applyFont="1">
      <alignment vertical="center"/>
    </xf>
    <xf borderId="7" fillId="0" fontId="9" numFmtId="165" xfId="0" applyAlignment="1" applyBorder="1" applyFont="1" applyNumberFormat="1">
      <alignment horizontal="center" vertical="center"/>
    </xf>
    <xf borderId="0" fillId="8" fontId="16" numFmtId="0" xfId="0" applyAlignment="1" applyFill="1" applyFont="1">
      <alignment vertical="center"/>
    </xf>
    <xf borderId="0" fillId="8" fontId="16" numFmtId="165" xfId="0" applyAlignment="1" applyFont="1" applyNumberFormat="1">
      <alignment vertical="center"/>
    </xf>
    <xf borderId="0" fillId="9" fontId="17" numFmtId="0" xfId="0" applyAlignment="1" applyFill="1" applyFont="1">
      <alignment vertical="center"/>
    </xf>
    <xf borderId="0" fillId="9" fontId="17" numFmtId="165" xfId="0" applyAlignment="1" applyFont="1" applyNumberFormat="1">
      <alignment vertical="center"/>
    </xf>
    <xf borderId="0" fillId="0" fontId="15" numFmtId="166" xfId="0" applyFont="1" applyNumberFormat="1"/>
    <xf borderId="0" fillId="0" fontId="18" numFmtId="165" xfId="0" applyAlignment="1" applyFont="1" applyNumberFormat="1">
      <alignment horizontal="center" vertical="center"/>
    </xf>
    <xf borderId="0" fillId="0" fontId="17" numFmtId="0" xfId="0" applyAlignment="1" applyFont="1">
      <alignment vertical="center"/>
    </xf>
    <xf borderId="0" fillId="10" fontId="19" numFmtId="165" xfId="0" applyAlignment="1" applyFill="1" applyFont="1" applyNumberFormat="1">
      <alignment vertical="center"/>
    </xf>
    <xf borderId="1" fillId="0" fontId="6" numFmtId="167" xfId="0" applyAlignment="1" applyBorder="1" applyFont="1" applyNumberFormat="1">
      <alignment horizontal="center" vertical="center"/>
    </xf>
    <xf borderId="23" fillId="7" fontId="13" numFmtId="165" xfId="0" applyAlignment="1" applyBorder="1" applyFont="1" applyNumberFormat="1">
      <alignment horizontal="center" vertical="center"/>
    </xf>
    <xf borderId="0" fillId="0" fontId="20" numFmtId="0" xfId="0" applyFont="1"/>
    <xf borderId="24" fillId="2" fontId="21" numFmtId="168" xfId="0" applyAlignment="1" applyBorder="1" applyFont="1" applyNumberFormat="1">
      <alignment horizontal="center"/>
    </xf>
    <xf borderId="25" fillId="2" fontId="21" numFmtId="168" xfId="0" applyAlignment="1" applyBorder="1" applyFont="1" applyNumberFormat="1">
      <alignment horizontal="center"/>
    </xf>
    <xf borderId="26" fillId="2" fontId="21" numFmtId="168" xfId="0" applyAlignment="1" applyBorder="1" applyFont="1" applyNumberFormat="1">
      <alignment horizontal="center"/>
    </xf>
    <xf borderId="0" fillId="0" fontId="21" numFmtId="168" xfId="0" applyAlignment="1" applyFont="1" applyNumberFormat="1">
      <alignment horizontal="center"/>
    </xf>
    <xf borderId="7" fillId="2" fontId="21" numFmtId="168" xfId="0" applyAlignment="1" applyBorder="1" applyFont="1" applyNumberFormat="1">
      <alignment horizontal="center"/>
    </xf>
    <xf borderId="0" fillId="0" fontId="22" numFmtId="0" xfId="0" applyFont="1"/>
    <xf borderId="7" fillId="0" fontId="23" numFmtId="168" xfId="0" applyAlignment="1" applyBorder="1" applyFont="1" applyNumberFormat="1">
      <alignment horizontal="center"/>
    </xf>
    <xf borderId="0" fillId="0" fontId="24" numFmtId="0" xfId="0" applyAlignment="1" applyFont="1">
      <alignment horizontal="center"/>
    </xf>
    <xf borderId="24" fillId="2" fontId="25" numFmtId="168" xfId="0" applyAlignment="1" applyBorder="1" applyFont="1" applyNumberFormat="1">
      <alignment horizontal="center"/>
    </xf>
    <xf borderId="25" fillId="2" fontId="25" numFmtId="168" xfId="0" applyAlignment="1" applyBorder="1" applyFont="1" applyNumberFormat="1">
      <alignment horizontal="center"/>
    </xf>
    <xf borderId="0" fillId="0" fontId="26" numFmtId="0" xfId="0" applyFont="1"/>
    <xf borderId="26" fillId="2" fontId="25" numFmtId="168" xfId="0" applyAlignment="1" applyBorder="1" applyFont="1" applyNumberFormat="1">
      <alignment horizontal="center"/>
    </xf>
    <xf borderId="7" fillId="0" fontId="27" numFmtId="168" xfId="0" applyAlignment="1" applyBorder="1" applyFont="1" applyNumberFormat="1">
      <alignment horizontal="center"/>
    </xf>
    <xf borderId="7" fillId="0" fontId="28" numFmtId="168" xfId="0" applyAlignment="1" applyBorder="1" applyFont="1" applyNumberFormat="1">
      <alignment horizontal="center"/>
    </xf>
    <xf borderId="0" fillId="11" fontId="29" numFmtId="0" xfId="0" applyAlignment="1" applyFill="1" applyFont="1">
      <alignment horizontal="center" shrinkToFit="0" vertical="center" wrapText="0"/>
    </xf>
    <xf borderId="0" fillId="12" fontId="30" numFmtId="0" xfId="0" applyAlignment="1" applyFill="1" applyFont="1">
      <alignment horizontal="left" shrinkToFit="0" vertical="center" wrapText="1"/>
    </xf>
    <xf borderId="0" fillId="0" fontId="31" numFmtId="0" xfId="0" applyAlignment="1" applyFont="1">
      <alignment shrinkToFit="0" vertical="center" wrapText="0"/>
    </xf>
    <xf borderId="27" fillId="13" fontId="32" numFmtId="0" xfId="0" applyAlignment="1" applyBorder="1" applyFill="1" applyFont="1">
      <alignment shrinkToFit="0" vertical="center" wrapText="0"/>
    </xf>
    <xf borderId="27" fillId="12" fontId="31" numFmtId="0" xfId="0" applyAlignment="1" applyBorder="1" applyFont="1">
      <alignment shrinkToFit="0" vertical="center" wrapText="0"/>
    </xf>
    <xf borderId="27" fillId="12" fontId="31" numFmtId="3" xfId="0" applyAlignment="1" applyBorder="1" applyFont="1" applyNumberFormat="1">
      <alignment shrinkToFit="0" vertical="center" wrapText="0"/>
    </xf>
    <xf borderId="0" fillId="11" fontId="33" numFmtId="0" xfId="0" applyAlignment="1" applyFont="1">
      <alignment horizontal="center" shrinkToFit="0" vertical="center" wrapText="0"/>
    </xf>
    <xf borderId="28" fillId="14" fontId="34" numFmtId="169" xfId="0" applyAlignment="1" applyBorder="1" applyFill="1" applyFont="1" applyNumberFormat="1">
      <alignment horizontal="center" shrinkToFit="0" vertical="center" wrapText="0"/>
    </xf>
    <xf borderId="29" fillId="0" fontId="2" numFmtId="0" xfId="0" applyBorder="1" applyFont="1"/>
    <xf borderId="29" fillId="14" fontId="34" numFmtId="169" xfId="0" applyAlignment="1" applyBorder="1" applyFont="1" applyNumberFormat="1">
      <alignment horizontal="center" shrinkToFit="0" vertical="center" wrapText="0"/>
    </xf>
    <xf borderId="29" fillId="14" fontId="34" numFmtId="170" xfId="0" applyAlignment="1" applyBorder="1" applyFont="1" applyNumberFormat="1">
      <alignment horizontal="center" shrinkToFit="0" vertical="center" wrapText="0"/>
    </xf>
    <xf borderId="30" fillId="0" fontId="2" numFmtId="0" xfId="0" applyBorder="1" applyFont="1"/>
    <xf borderId="0" fillId="11" fontId="33" numFmtId="0" xfId="0" applyAlignment="1" applyFont="1">
      <alignment horizontal="left" shrinkToFit="0" vertical="center" wrapText="0"/>
    </xf>
    <xf borderId="27" fillId="15" fontId="35" numFmtId="0" xfId="0" applyAlignment="1" applyBorder="1" applyFill="1" applyFont="1">
      <alignment horizontal="center" shrinkToFit="0" vertical="center" wrapText="1"/>
    </xf>
    <xf borderId="27" fillId="16" fontId="31" numFmtId="0" xfId="0" applyAlignment="1" applyBorder="1" applyFill="1" applyFont="1">
      <alignment shrinkToFit="0" vertical="center" wrapText="1"/>
    </xf>
    <xf borderId="27" fillId="16" fontId="31" numFmtId="171" xfId="0" applyAlignment="1" applyBorder="1" applyFont="1" applyNumberFormat="1">
      <alignment horizontal="right" shrinkToFit="0" vertical="center" wrapText="1"/>
    </xf>
    <xf borderId="27" fillId="16" fontId="31" numFmtId="169" xfId="0" applyAlignment="1" applyBorder="1" applyFont="1" applyNumberFormat="1">
      <alignment horizontal="right" shrinkToFit="0" vertical="center" wrapText="1"/>
    </xf>
    <xf borderId="27" fillId="16" fontId="31" numFmtId="0" xfId="0" applyAlignment="1" applyBorder="1" applyFont="1">
      <alignment horizontal="center" shrinkToFit="0" vertical="center" wrapText="1"/>
    </xf>
    <xf borderId="27" fillId="17" fontId="31" numFmtId="0" xfId="0" applyAlignment="1" applyBorder="1" applyFill="1" applyFont="1">
      <alignment shrinkToFit="0" vertical="center" wrapText="1"/>
    </xf>
    <xf borderId="27" fillId="17" fontId="31" numFmtId="171" xfId="0" applyAlignment="1" applyBorder="1" applyFont="1" applyNumberFormat="1">
      <alignment horizontal="right" shrinkToFit="0" vertical="center" wrapText="1"/>
    </xf>
    <xf borderId="27" fillId="17" fontId="31" numFmtId="169" xfId="0" applyAlignment="1" applyBorder="1" applyFont="1" applyNumberFormat="1">
      <alignment horizontal="right" shrinkToFit="0" vertical="center" wrapText="1"/>
    </xf>
    <xf borderId="27" fillId="17" fontId="31" numFmtId="0" xfId="0" applyAlignment="1" applyBorder="1" applyFont="1">
      <alignment horizontal="center" shrinkToFit="0" vertical="center" wrapText="1"/>
    </xf>
    <xf borderId="31" fillId="15" fontId="31" numFmtId="0" xfId="0" applyAlignment="1" applyBorder="1" applyFont="1">
      <alignment shrinkToFit="0" vertical="center" wrapText="1"/>
    </xf>
    <xf borderId="32" fillId="0" fontId="2" numFmtId="0" xfId="0" applyBorder="1" applyFont="1"/>
    <xf borderId="33" fillId="0" fontId="2" numFmtId="0" xfId="0" applyBorder="1" applyFont="1"/>
    <xf borderId="27" fillId="15" fontId="31" numFmtId="169" xfId="0" applyAlignment="1" applyBorder="1" applyFont="1" applyNumberFormat="1">
      <alignment horizontal="right" shrinkToFit="0" vertical="center" wrapText="1"/>
    </xf>
    <xf borderId="31" fillId="15" fontId="31" numFmtId="0" xfId="0" applyAlignment="1" applyBorder="1" applyFont="1">
      <alignment horizontal="center" shrinkToFit="0" vertical="center" wrapText="1"/>
    </xf>
    <xf borderId="31" fillId="18" fontId="31" numFmtId="0" xfId="0" applyAlignment="1" applyBorder="1" applyFill="1" applyFont="1">
      <alignment shrinkToFit="0" vertical="center" wrapText="1"/>
    </xf>
    <xf borderId="27" fillId="18" fontId="31" numFmtId="169" xfId="0" applyAlignment="1" applyBorder="1" applyFont="1" applyNumberFormat="1">
      <alignment horizontal="right" shrinkToFit="0" vertical="center" wrapText="1"/>
    </xf>
    <xf borderId="31" fillId="18" fontId="31" numFmtId="0" xfId="0" applyAlignment="1" applyBorder="1" applyFont="1">
      <alignment horizontal="center" shrinkToFit="0" vertical="center" wrapText="1"/>
    </xf>
    <xf borderId="28" fillId="19" fontId="36" numFmtId="0" xfId="0" applyAlignment="1" applyBorder="1" applyFill="1" applyFont="1">
      <alignment shrinkToFit="0" vertical="center" wrapText="1"/>
    </xf>
    <xf borderId="34" fillId="19" fontId="36" numFmtId="169" xfId="0" applyAlignment="1" applyBorder="1" applyFont="1" applyNumberFormat="1">
      <alignment horizontal="right" shrinkToFit="0" vertical="center" wrapText="1"/>
    </xf>
    <xf borderId="28" fillId="19" fontId="36" numFmtId="0" xfId="0" applyAlignment="1" applyBorder="1" applyFont="1">
      <alignment horizontal="center" shrinkToFit="0" vertical="center" wrapText="1"/>
    </xf>
    <xf borderId="0" fillId="0" fontId="31" numFmtId="0" xfId="0" applyAlignment="1" applyFont="1">
      <alignment shrinkToFit="0" vertical="center" wrapText="1"/>
    </xf>
    <xf borderId="0" fillId="0" fontId="31" numFmtId="0" xfId="0" applyAlignment="1" applyFont="1">
      <alignment horizontal="right" shrinkToFit="0" vertical="center" wrapText="1"/>
    </xf>
    <xf borderId="0" fillId="0" fontId="31" numFmtId="0" xfId="0" applyAlignment="1" applyFont="1">
      <alignment horizontal="center" shrinkToFit="0" vertical="center" wrapText="1"/>
    </xf>
    <xf borderId="0" fillId="11" fontId="33" numFmtId="0" xfId="0" applyAlignment="1" applyFont="1">
      <alignment horizontal="left" shrinkToFit="0" vertical="center" wrapText="1"/>
    </xf>
    <xf borderId="27" fillId="15" fontId="35" numFmtId="0" xfId="0" applyAlignment="1" applyBorder="1" applyFont="1">
      <alignment horizontal="right" shrinkToFit="0" vertical="center" wrapText="1"/>
    </xf>
    <xf borderId="0" fillId="0" fontId="31" numFmtId="169" xfId="0" applyAlignment="1" applyFont="1" applyNumberFormat="1">
      <alignment horizontal="right" shrinkToFit="0" vertical="center" wrapText="1"/>
    </xf>
    <xf borderId="28" fillId="20" fontId="36" numFmtId="0" xfId="0" applyAlignment="1" applyBorder="1" applyFill="1" applyFont="1">
      <alignment shrinkToFit="0" vertical="center" wrapText="1"/>
    </xf>
    <xf borderId="34" fillId="20" fontId="36" numFmtId="169" xfId="0" applyAlignment="1" applyBorder="1" applyFont="1" applyNumberFormat="1">
      <alignment horizontal="right" shrinkToFit="0" vertical="center" wrapText="1"/>
    </xf>
    <xf borderId="28" fillId="20" fontId="36" numFmtId="0" xfId="0" applyAlignment="1" applyBorder="1" applyFont="1">
      <alignment horizontal="center" shrinkToFit="0" vertical="center" wrapText="1"/>
    </xf>
    <xf borderId="0" fillId="11" fontId="33" numFmtId="0" xfId="0" applyAlignment="1" applyFont="1">
      <alignment shrinkToFit="0" vertical="center" wrapText="1"/>
    </xf>
    <xf borderId="31" fillId="21" fontId="31" numFmtId="0" xfId="0" applyAlignment="1" applyBorder="1" applyFill="1" applyFont="1">
      <alignment shrinkToFit="0" vertical="center" wrapText="1"/>
    </xf>
    <xf borderId="27" fillId="21" fontId="31" numFmtId="169" xfId="0" applyAlignment="1" applyBorder="1" applyFont="1" applyNumberFormat="1">
      <alignment horizontal="right" shrinkToFit="0" vertical="center" wrapText="1"/>
    </xf>
    <xf borderId="31" fillId="21" fontId="31" numFmtId="0" xfId="0" applyAlignment="1" applyBorder="1" applyFont="1">
      <alignment horizontal="center" shrinkToFit="0" vertical="center" wrapText="1"/>
    </xf>
    <xf borderId="31" fillId="17" fontId="31" numFmtId="0" xfId="0" applyAlignment="1" applyBorder="1" applyFont="1">
      <alignment shrinkToFit="0" vertical="center" wrapText="1"/>
    </xf>
    <xf borderId="31" fillId="17" fontId="31" numFmtId="0" xfId="0" applyAlignment="1" applyBorder="1" applyFont="1">
      <alignment horizontal="center" shrinkToFit="0" vertical="center" wrapText="1"/>
    </xf>
    <xf borderId="31" fillId="14" fontId="31" numFmtId="0" xfId="0" applyAlignment="1" applyBorder="1" applyFont="1">
      <alignment shrinkToFit="0" vertical="center" wrapText="1"/>
    </xf>
    <xf borderId="27" fillId="14" fontId="31" numFmtId="170" xfId="0" applyAlignment="1" applyBorder="1" applyFont="1" applyNumberFormat="1">
      <alignment horizontal="right" shrinkToFit="0" vertical="center" wrapText="1"/>
    </xf>
    <xf borderId="31" fillId="14" fontId="31" numFmtId="0" xfId="0" applyAlignment="1" applyBorder="1" applyFont="1">
      <alignment horizontal="center" shrinkToFit="0" vertical="center" wrapText="1"/>
    </xf>
    <xf borderId="0" fillId="22" fontId="32" numFmtId="0" xfId="0" applyAlignment="1" applyFill="1" applyFont="1">
      <alignment shrinkToFit="0" vertical="center" wrapText="1"/>
    </xf>
    <xf borderId="31" fillId="23" fontId="31" numFmtId="0" xfId="0" applyAlignment="1" applyBorder="1" applyFill="1" applyFont="1">
      <alignment shrinkToFit="0" vertical="center" wrapText="1"/>
    </xf>
    <xf borderId="27" fillId="23" fontId="31" numFmtId="169" xfId="0" applyAlignment="1" applyBorder="1" applyFont="1" applyNumberFormat="1">
      <alignment horizontal="right" shrinkToFit="0" vertical="center" wrapText="1"/>
    </xf>
    <xf borderId="31" fillId="23" fontId="31" numFmtId="0" xfId="0" applyAlignment="1" applyBorder="1" applyFont="1">
      <alignment horizontal="center" shrinkToFit="0" vertical="center" wrapText="1"/>
    </xf>
    <xf borderId="28" fillId="12" fontId="36" numFmtId="0" xfId="0" applyAlignment="1" applyBorder="1" applyFont="1">
      <alignment shrinkToFit="0" vertical="center" wrapText="1"/>
    </xf>
    <xf borderId="34" fillId="12" fontId="36" numFmtId="169" xfId="0" applyAlignment="1" applyBorder="1" applyFont="1" applyNumberFormat="1">
      <alignment horizontal="right" shrinkToFit="0" vertical="center" wrapText="1"/>
    </xf>
    <xf borderId="28" fillId="12" fontId="36" numFmtId="0" xfId="0" applyAlignment="1" applyBorder="1" applyFont="1">
      <alignment horizontal="center" shrinkToFit="0" vertical="center" wrapText="1"/>
    </xf>
    <xf borderId="35" fillId="12" fontId="37" numFmtId="0" xfId="0" applyAlignment="1" applyBorder="1" applyFont="1">
      <alignment shrinkToFit="0" vertical="center" wrapText="1"/>
    </xf>
    <xf borderId="36" fillId="0" fontId="2" numFmtId="0" xfId="0" applyBorder="1" applyFont="1"/>
    <xf borderId="37" fillId="0" fontId="2" numFmtId="0" xfId="0" applyBorder="1" applyFont="1"/>
    <xf borderId="38" fillId="0" fontId="2" numFmtId="0" xfId="0" applyBorder="1" applyFont="1"/>
    <xf borderId="39" fillId="0" fontId="2" numFmtId="0" xfId="0" applyBorder="1" applyFont="1"/>
    <xf borderId="40" fillId="0" fontId="2" numFmtId="0" xfId="0" applyBorder="1" applyFont="1"/>
  </cellXfs>
  <cellStyles count="1">
    <cellStyle xfId="0" name="Normal" builtinId="0"/>
  </cellStyles>
  <dxfs count="2">
    <dxf>
      <font>
        <b/>
        <color rgb="FF006100"/>
      </font>
      <fill>
        <patternFill patternType="solid">
          <fgColor rgb="FFC6E0B4"/>
          <bgColor rgb="FFC6E0B4"/>
        </patternFill>
      </fill>
      <border/>
    </dxf>
    <dxf>
      <font>
        <b/>
        <color rgb="FF9C0006"/>
      </font>
      <fill>
        <patternFill patternType="solid">
          <fgColor rgb="FFF4CCCC"/>
          <bgColor rgb="FFF4CC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customschemas.google.com/relationships/workbookmetadata" Target="metadata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19" Type="http://schemas.openxmlformats.org/officeDocument/2006/relationships/worksheet" Target="worksheets/sheet16.xml"/><Relationship Id="rId6" Type="http://schemas.openxmlformats.org/officeDocument/2006/relationships/worksheet" Target="worksheets/sheet3.xml"/><Relationship Id="rId18" Type="http://schemas.openxmlformats.org/officeDocument/2006/relationships/worksheet" Target="worksheets/sheet15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37.0"/>
    <col customWidth="1" min="5" max="6" width="10.56"/>
  </cols>
  <sheetData>
    <row r="1" ht="48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46152.0</v>
      </c>
      <c r="C4" s="13"/>
      <c r="D4" s="14">
        <v>46159.0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39.0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6</v>
      </c>
      <c r="C8" s="9"/>
      <c r="D8" s="10"/>
    </row>
    <row r="9" ht="15.75" customHeight="1">
      <c r="A9" s="17" t="s">
        <v>7</v>
      </c>
      <c r="B9" s="18" t="s">
        <v>8</v>
      </c>
      <c r="C9" s="18" t="s">
        <v>9</v>
      </c>
      <c r="D9" s="19"/>
    </row>
    <row r="10" ht="15.75" customHeight="1">
      <c r="A10" s="20" t="s">
        <v>12</v>
      </c>
      <c r="B10" s="21" t="s">
        <v>13</v>
      </c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18</v>
      </c>
      <c r="B12" s="27">
        <v>6.5</v>
      </c>
      <c r="C12" s="28">
        <v>350.0</v>
      </c>
      <c r="D12" s="29">
        <f>B12*C12</f>
        <v>2275</v>
      </c>
    </row>
    <row r="13" ht="15.75" customHeight="1">
      <c r="A13" s="26" t="s">
        <v>19</v>
      </c>
      <c r="B13" s="27"/>
      <c r="C13" s="28"/>
      <c r="D13" s="29">
        <v>12415.0</v>
      </c>
    </row>
    <row r="14" ht="15.75" customHeight="1">
      <c r="A14" s="26" t="s">
        <v>20</v>
      </c>
      <c r="B14" s="27">
        <v>33.0</v>
      </c>
      <c r="C14" s="28">
        <v>70.0</v>
      </c>
      <c r="D14" s="29">
        <f t="shared" ref="D14:D15" si="1">B14*C14</f>
        <v>2310</v>
      </c>
    </row>
    <row r="15" ht="15.75" customHeight="1">
      <c r="A15" s="26" t="s">
        <v>21</v>
      </c>
      <c r="B15" s="27">
        <v>4.5</v>
      </c>
      <c r="C15" s="28">
        <v>150.0</v>
      </c>
      <c r="D15" s="29">
        <f t="shared" si="1"/>
        <v>675</v>
      </c>
    </row>
    <row r="16" ht="15.75" customHeight="1">
      <c r="A16" s="26"/>
      <c r="B16" s="27"/>
      <c r="C16" s="28"/>
      <c r="D16" s="29"/>
    </row>
    <row r="17" ht="15.75" customHeight="1">
      <c r="A17" s="26"/>
      <c r="B17" s="27"/>
      <c r="C17" s="28"/>
      <c r="D17" s="29"/>
    </row>
    <row r="18" ht="15.75" customHeight="1">
      <c r="A18" s="26"/>
      <c r="B18" s="27"/>
      <c r="C18" s="28"/>
      <c r="D18" s="29"/>
    </row>
    <row r="19" ht="15.75" customHeight="1">
      <c r="A19" s="26"/>
      <c r="B19" s="30"/>
      <c r="C19" s="31"/>
      <c r="D19" s="32"/>
    </row>
    <row r="20" ht="15.75" customHeight="1">
      <c r="A20" s="33" t="s">
        <v>23</v>
      </c>
      <c r="B20" s="34"/>
      <c r="C20" s="34"/>
      <c r="D20" s="35">
        <f>SUM(D12:D19)</f>
        <v>17675</v>
      </c>
    </row>
    <row r="21" ht="15.75" customHeight="1">
      <c r="A21" s="36" t="s">
        <v>24</v>
      </c>
      <c r="B21" s="37"/>
      <c r="C21" s="37"/>
      <c r="D21" s="38">
        <f>D12+D13</f>
        <v>14690</v>
      </c>
    </row>
    <row r="22" ht="15.75" customHeight="1">
      <c r="A22" s="39" t="s">
        <v>25</v>
      </c>
      <c r="B22" s="40"/>
      <c r="C22" s="40"/>
      <c r="D22" s="40"/>
    </row>
    <row r="23" ht="15.75" customHeight="1">
      <c r="A23" s="41"/>
      <c r="B23" s="42" t="s">
        <v>15</v>
      </c>
      <c r="C23" s="42" t="s">
        <v>16</v>
      </c>
      <c r="D23" s="42" t="s">
        <v>17</v>
      </c>
    </row>
    <row r="24" ht="15.75" customHeight="1">
      <c r="A24" s="43" t="s">
        <v>26</v>
      </c>
      <c r="B24" s="44"/>
      <c r="C24" s="45"/>
      <c r="D24" s="45"/>
    </row>
    <row r="25" ht="15.75" customHeight="1">
      <c r="A25" s="43" t="s">
        <v>27</v>
      </c>
      <c r="B25" s="44"/>
      <c r="C25" s="45"/>
      <c r="D25" s="45">
        <v>400.0</v>
      </c>
    </row>
    <row r="26" ht="15.75" customHeight="1">
      <c r="A26" s="43" t="s">
        <v>28</v>
      </c>
      <c r="B26" s="44">
        <v>31.0</v>
      </c>
      <c r="C26" s="45">
        <v>20.0</v>
      </c>
      <c r="D26" s="45">
        <f t="shared" ref="D26:D27" si="2">B26*C26</f>
        <v>620</v>
      </c>
    </row>
    <row r="27" ht="15.75" customHeight="1">
      <c r="A27" s="43" t="s">
        <v>30</v>
      </c>
      <c r="B27" s="44"/>
      <c r="C27" s="45"/>
      <c r="D27" s="45">
        <f t="shared" si="2"/>
        <v>0</v>
      </c>
    </row>
    <row r="28" ht="15.75" customHeight="1">
      <c r="A28" s="43" t="s">
        <v>31</v>
      </c>
      <c r="B28" s="44"/>
      <c r="C28" s="45"/>
      <c r="D28" s="45">
        <v>285.0</v>
      </c>
    </row>
    <row r="29" ht="15.75" customHeight="1">
      <c r="A29" s="43" t="s">
        <v>32</v>
      </c>
      <c r="B29" s="44"/>
      <c r="C29" s="45"/>
      <c r="D29" s="45">
        <v>320.0</v>
      </c>
    </row>
    <row r="30" ht="15.75" customHeight="1">
      <c r="A30" s="43" t="s">
        <v>33</v>
      </c>
      <c r="B30" s="44">
        <v>19.0</v>
      </c>
      <c r="C30" s="45">
        <v>31.0</v>
      </c>
      <c r="D30" s="45">
        <f t="shared" ref="D30:D34" si="3">B30*C30</f>
        <v>589</v>
      </c>
    </row>
    <row r="31" ht="15.75" customHeight="1">
      <c r="A31" s="43" t="s">
        <v>34</v>
      </c>
      <c r="B31" s="44">
        <v>21.0</v>
      </c>
      <c r="C31" s="45">
        <v>57.0</v>
      </c>
      <c r="D31" s="45">
        <f t="shared" si="3"/>
        <v>1197</v>
      </c>
    </row>
    <row r="32" ht="15.75" customHeight="1">
      <c r="A32" s="43" t="s">
        <v>36</v>
      </c>
      <c r="B32" s="44">
        <v>17.5</v>
      </c>
      <c r="C32" s="45">
        <v>33.0</v>
      </c>
      <c r="D32" s="45">
        <f t="shared" si="3"/>
        <v>577.5</v>
      </c>
    </row>
    <row r="33" ht="15.75" customHeight="1">
      <c r="A33" s="43" t="s">
        <v>37</v>
      </c>
      <c r="B33" s="44">
        <v>19.5</v>
      </c>
      <c r="C33" s="45">
        <v>37.0</v>
      </c>
      <c r="D33" s="45">
        <f t="shared" si="3"/>
        <v>721.5</v>
      </c>
    </row>
    <row r="34" ht="15.75" customHeight="1">
      <c r="A34" s="43" t="s">
        <v>38</v>
      </c>
      <c r="B34" s="44">
        <v>7.5</v>
      </c>
      <c r="C34" s="45">
        <v>200.0</v>
      </c>
      <c r="D34" s="45">
        <f t="shared" si="3"/>
        <v>1500</v>
      </c>
    </row>
    <row r="35" ht="15.75" customHeight="1">
      <c r="A35" s="43" t="s">
        <v>39</v>
      </c>
      <c r="B35" s="44"/>
      <c r="C35" s="45"/>
      <c r="D35" s="45">
        <f>D21*10%</f>
        <v>1469</v>
      </c>
    </row>
    <row r="36" ht="15.75" customHeight="1">
      <c r="A36" s="48" t="s">
        <v>40</v>
      </c>
      <c r="B36" s="49"/>
      <c r="C36" s="49"/>
      <c r="D36" s="50">
        <f>SUM(D24:D35)</f>
        <v>7679</v>
      </c>
    </row>
    <row r="37" ht="15.75" customHeight="1">
      <c r="A37" s="48"/>
      <c r="B37" s="15"/>
      <c r="C37" s="15"/>
      <c r="D37" s="50"/>
    </row>
    <row r="38" ht="15.75" customHeight="1">
      <c r="A38" s="48" t="s">
        <v>41</v>
      </c>
      <c r="B38" s="51" t="s">
        <v>15</v>
      </c>
      <c r="C38" s="51" t="s">
        <v>16</v>
      </c>
      <c r="D38" s="51" t="s">
        <v>17</v>
      </c>
    </row>
    <row r="39" ht="15.75" customHeight="1">
      <c r="A39" s="52" t="s">
        <v>42</v>
      </c>
      <c r="B39" s="52"/>
      <c r="C39" s="53"/>
      <c r="D39" s="53"/>
    </row>
    <row r="40" ht="15.75" customHeight="1">
      <c r="A40" s="52"/>
      <c r="B40" s="52"/>
      <c r="C40" s="53"/>
      <c r="D40" s="53"/>
    </row>
    <row r="41" ht="15.75" customHeight="1">
      <c r="A41" s="54" t="s">
        <v>43</v>
      </c>
      <c r="B41" s="15"/>
      <c r="C41" s="15"/>
      <c r="D41" s="55">
        <f>D21-D36</f>
        <v>7011</v>
      </c>
    </row>
    <row r="42" ht="15.75" customHeight="1">
      <c r="A42" s="15"/>
      <c r="B42" s="15"/>
      <c r="C42" s="15"/>
      <c r="D42" s="49"/>
    </row>
    <row r="43" ht="15.75" customHeight="1">
      <c r="A43" s="56" t="s">
        <v>44</v>
      </c>
      <c r="B43" s="56"/>
      <c r="C43" s="56"/>
      <c r="D43" s="57">
        <f>D41*86%</f>
        <v>6029.46</v>
      </c>
    </row>
    <row r="44" ht="15.75" customHeight="1">
      <c r="A44" s="58" t="s">
        <v>45</v>
      </c>
      <c r="B44" s="58"/>
      <c r="C44" s="58"/>
      <c r="D44" s="59">
        <f>D41-D43</f>
        <v>981.54</v>
      </c>
    </row>
    <row r="45" ht="15.75" customHeight="1">
      <c r="A45" s="54"/>
      <c r="B45" s="15"/>
      <c r="C45" s="15"/>
      <c r="D45" s="61"/>
    </row>
    <row r="46" ht="15.75" customHeight="1">
      <c r="A46" s="62" t="s">
        <v>46</v>
      </c>
      <c r="B46" s="62"/>
      <c r="C46" s="62"/>
      <c r="D46" s="63">
        <f>D43-D12</f>
        <v>3754.46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37.0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46159.0</v>
      </c>
      <c r="C4" s="13"/>
      <c r="D4" s="14">
        <v>46166.0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39.0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6</v>
      </c>
      <c r="C8" s="9"/>
      <c r="D8" s="10"/>
    </row>
    <row r="9" ht="15.75" customHeight="1">
      <c r="A9" s="17" t="s">
        <v>7</v>
      </c>
      <c r="B9" s="18"/>
      <c r="C9" s="18" t="s">
        <v>9</v>
      </c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18</v>
      </c>
      <c r="B12" s="27"/>
      <c r="C12" s="28"/>
      <c r="D12" s="29">
        <v>6500.0</v>
      </c>
    </row>
    <row r="13" ht="15.75" customHeight="1">
      <c r="A13" s="26" t="s">
        <v>19</v>
      </c>
      <c r="B13" s="27"/>
      <c r="C13" s="28"/>
      <c r="D13" s="29">
        <v>11130.0</v>
      </c>
    </row>
    <row r="14" ht="15.75" customHeight="1">
      <c r="A14" s="26" t="s">
        <v>20</v>
      </c>
      <c r="B14" s="27">
        <v>28.0</v>
      </c>
      <c r="C14" s="28">
        <v>70.0</v>
      </c>
      <c r="D14" s="29">
        <f t="shared" ref="D14:D15" si="1">B14*C14</f>
        <v>1960</v>
      </c>
    </row>
    <row r="15" ht="15.75" customHeight="1">
      <c r="A15" s="26" t="s">
        <v>21</v>
      </c>
      <c r="B15" s="27">
        <v>6.0</v>
      </c>
      <c r="C15" s="28">
        <v>150.0</v>
      </c>
      <c r="D15" s="29">
        <f t="shared" si="1"/>
        <v>900</v>
      </c>
    </row>
    <row r="16" ht="15.75" customHeight="1">
      <c r="A16" s="26"/>
      <c r="B16" s="27"/>
      <c r="C16" s="28"/>
      <c r="D16" s="29"/>
    </row>
    <row r="17" ht="15.75" customHeight="1">
      <c r="A17" s="26"/>
      <c r="B17" s="27"/>
      <c r="C17" s="28"/>
      <c r="D17" s="29"/>
    </row>
    <row r="18" ht="15.75" customHeight="1">
      <c r="A18" s="26"/>
      <c r="B18" s="27"/>
      <c r="C18" s="28"/>
      <c r="D18" s="29"/>
    </row>
    <row r="19" ht="15.75" customHeight="1">
      <c r="A19" s="26"/>
      <c r="B19" s="30"/>
      <c r="C19" s="31"/>
      <c r="D19" s="32"/>
    </row>
    <row r="20" ht="15.75" customHeight="1">
      <c r="A20" s="33" t="s">
        <v>23</v>
      </c>
      <c r="B20" s="34"/>
      <c r="C20" s="34"/>
      <c r="D20" s="35">
        <f>SUM(D12:D19)</f>
        <v>20490</v>
      </c>
    </row>
    <row r="21" ht="15.75" customHeight="1">
      <c r="A21" s="36" t="s">
        <v>24</v>
      </c>
      <c r="B21" s="37"/>
      <c r="C21" s="37"/>
      <c r="D21" s="38">
        <f>D12+D13</f>
        <v>17630</v>
      </c>
    </row>
    <row r="22" ht="15.75" customHeight="1">
      <c r="A22" s="39" t="s">
        <v>25</v>
      </c>
      <c r="B22" s="40"/>
      <c r="C22" s="40"/>
      <c r="D22" s="40"/>
    </row>
    <row r="23" ht="15.75" customHeight="1">
      <c r="A23" s="41"/>
      <c r="B23" s="42" t="s">
        <v>15</v>
      </c>
      <c r="C23" s="42" t="s">
        <v>16</v>
      </c>
      <c r="D23" s="42" t="s">
        <v>17</v>
      </c>
    </row>
    <row r="24" ht="15.75" customHeight="1">
      <c r="A24" s="43" t="s">
        <v>26</v>
      </c>
      <c r="B24" s="44"/>
      <c r="C24" s="45"/>
      <c r="D24" s="45"/>
    </row>
    <row r="25" ht="15.75" customHeight="1">
      <c r="A25" s="43" t="s">
        <v>27</v>
      </c>
      <c r="B25" s="44"/>
      <c r="C25" s="45">
        <v>385.0</v>
      </c>
      <c r="D25" s="45">
        <v>385.0</v>
      </c>
    </row>
    <row r="26" ht="15.75" customHeight="1">
      <c r="A26" s="43" t="s">
        <v>28</v>
      </c>
      <c r="B26" s="44">
        <v>32.0</v>
      </c>
      <c r="C26" s="45">
        <v>20.0</v>
      </c>
      <c r="D26" s="45">
        <f t="shared" ref="D26:D27" si="2">B26*C26</f>
        <v>640</v>
      </c>
    </row>
    <row r="27" ht="15.75" customHeight="1">
      <c r="A27" s="43" t="s">
        <v>30</v>
      </c>
      <c r="B27" s="44"/>
      <c r="C27" s="45"/>
      <c r="D27" s="45">
        <f t="shared" si="2"/>
        <v>0</v>
      </c>
    </row>
    <row r="28" ht="15.75" customHeight="1">
      <c r="A28" s="43" t="s">
        <v>31</v>
      </c>
      <c r="B28" s="44"/>
      <c r="C28" s="45">
        <v>122.0</v>
      </c>
      <c r="D28" s="45">
        <v>122.0</v>
      </c>
    </row>
    <row r="29" ht="15.75" customHeight="1">
      <c r="A29" s="43" t="s">
        <v>32</v>
      </c>
      <c r="B29" s="44"/>
      <c r="C29" s="45">
        <v>360.0</v>
      </c>
      <c r="D29" s="45">
        <v>360.0</v>
      </c>
    </row>
    <row r="30" ht="15.75" customHeight="1">
      <c r="A30" s="43" t="s">
        <v>33</v>
      </c>
      <c r="B30" s="44">
        <v>28.0</v>
      </c>
      <c r="C30" s="45">
        <v>28.0</v>
      </c>
      <c r="D30" s="45">
        <f t="shared" ref="D30:D34" si="3">B30*C30</f>
        <v>784</v>
      </c>
      <c r="I30" s="46"/>
    </row>
    <row r="31" ht="15.75" customHeight="1">
      <c r="A31" s="43" t="s">
        <v>34</v>
      </c>
      <c r="B31" s="44">
        <v>32.0</v>
      </c>
      <c r="C31" s="45">
        <v>56.0</v>
      </c>
      <c r="D31" s="45">
        <f t="shared" si="3"/>
        <v>1792</v>
      </c>
    </row>
    <row r="32" ht="15.75" customHeight="1">
      <c r="A32" s="43" t="s">
        <v>36</v>
      </c>
      <c r="B32" s="44">
        <v>17.5</v>
      </c>
      <c r="C32" s="45">
        <v>33.0</v>
      </c>
      <c r="D32" s="45">
        <f t="shared" si="3"/>
        <v>577.5</v>
      </c>
      <c r="I32" s="47"/>
    </row>
    <row r="33" ht="15.75" customHeight="1">
      <c r="A33" s="43" t="s">
        <v>37</v>
      </c>
      <c r="B33" s="44">
        <v>30.0</v>
      </c>
      <c r="C33" s="45">
        <v>37.0</v>
      </c>
      <c r="D33" s="45">
        <f t="shared" si="3"/>
        <v>1110</v>
      </c>
    </row>
    <row r="34" ht="15.75" customHeight="1">
      <c r="A34" s="43" t="s">
        <v>38</v>
      </c>
      <c r="B34" s="44">
        <v>7.5</v>
      </c>
      <c r="C34" s="45">
        <v>200.0</v>
      </c>
      <c r="D34" s="45">
        <f t="shared" si="3"/>
        <v>1500</v>
      </c>
    </row>
    <row r="35" ht="15.75" customHeight="1">
      <c r="A35" s="43" t="s">
        <v>39</v>
      </c>
      <c r="B35" s="44"/>
      <c r="C35" s="45"/>
      <c r="D35" s="45">
        <f>D21*10%</f>
        <v>1763</v>
      </c>
    </row>
    <row r="36" ht="15.75" customHeight="1">
      <c r="A36" s="48" t="s">
        <v>40</v>
      </c>
      <c r="B36" s="49"/>
      <c r="C36" s="49"/>
      <c r="D36" s="50">
        <f>SUM(D24:D35)</f>
        <v>9033.5</v>
      </c>
      <c r="I36" s="47"/>
    </row>
    <row r="37" ht="15.75" customHeight="1">
      <c r="A37" s="48"/>
      <c r="B37" s="15"/>
      <c r="C37" s="15"/>
      <c r="D37" s="50"/>
    </row>
    <row r="38" ht="15.75" customHeight="1">
      <c r="A38" s="48" t="s">
        <v>41</v>
      </c>
      <c r="B38" s="51" t="s">
        <v>15</v>
      </c>
      <c r="C38" s="51" t="s">
        <v>16</v>
      </c>
      <c r="D38" s="51" t="s">
        <v>17</v>
      </c>
    </row>
    <row r="39" ht="15.75" customHeight="1">
      <c r="A39" s="52" t="s">
        <v>42</v>
      </c>
      <c r="B39" s="52"/>
      <c r="C39" s="53"/>
      <c r="D39" s="53"/>
    </row>
    <row r="40" ht="15.75" customHeight="1">
      <c r="A40" s="52"/>
      <c r="B40" s="52"/>
      <c r="C40" s="53"/>
      <c r="D40" s="53"/>
    </row>
    <row r="41" ht="15.75" customHeight="1">
      <c r="A41" s="54" t="s">
        <v>43</v>
      </c>
      <c r="B41" s="15"/>
      <c r="C41" s="15"/>
      <c r="D41" s="55">
        <f>D21-D36</f>
        <v>8596.5</v>
      </c>
    </row>
    <row r="42" ht="15.75" customHeight="1">
      <c r="A42" s="15"/>
      <c r="B42" s="15"/>
      <c r="C42" s="15"/>
      <c r="D42" s="49"/>
      <c r="I42" s="46"/>
    </row>
    <row r="43" ht="15.75" customHeight="1">
      <c r="A43" s="56" t="s">
        <v>44</v>
      </c>
      <c r="B43" s="56"/>
      <c r="C43" s="56"/>
      <c r="D43" s="57">
        <f>D41*50%</f>
        <v>4298.25</v>
      </c>
    </row>
    <row r="44" ht="15.75" customHeight="1">
      <c r="A44" s="58" t="s">
        <v>45</v>
      </c>
      <c r="B44" s="58"/>
      <c r="C44" s="58"/>
      <c r="D44" s="59">
        <f>D41-D43</f>
        <v>4298.25</v>
      </c>
      <c r="I44" s="60"/>
    </row>
    <row r="45" ht="15.75" customHeight="1">
      <c r="A45" s="54"/>
      <c r="B45" s="15"/>
      <c r="C45" s="15"/>
      <c r="D45" s="61"/>
    </row>
    <row r="46" ht="15.75" customHeight="1">
      <c r="A46" s="62" t="s">
        <v>46</v>
      </c>
      <c r="B46" s="62"/>
      <c r="C46" s="62"/>
      <c r="D46" s="63">
        <f>D43-D12</f>
        <v>-2201.75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37.0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46164.0</v>
      </c>
      <c r="C4" s="13"/>
      <c r="D4" s="14">
        <v>46171.0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37.0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10</v>
      </c>
      <c r="C8" s="9"/>
      <c r="D8" s="10"/>
    </row>
    <row r="9" ht="15.75" customHeight="1">
      <c r="A9" s="17" t="s">
        <v>7</v>
      </c>
      <c r="B9" s="18"/>
      <c r="C9" s="18" t="s">
        <v>11</v>
      </c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18</v>
      </c>
      <c r="B12" s="27"/>
      <c r="C12" s="28"/>
      <c r="D12" s="29"/>
    </row>
    <row r="13" ht="15.75" customHeight="1">
      <c r="A13" s="26" t="s">
        <v>19</v>
      </c>
      <c r="B13" s="27"/>
      <c r="C13" s="28"/>
      <c r="D13" s="29">
        <v>7850.0</v>
      </c>
    </row>
    <row r="14" ht="15.75" customHeight="1">
      <c r="A14" s="26" t="s">
        <v>20</v>
      </c>
      <c r="B14" s="27">
        <v>23.0</v>
      </c>
      <c r="C14" s="28">
        <v>100.0</v>
      </c>
      <c r="D14" s="29">
        <f t="shared" ref="D14:D16" si="1">B14*C14</f>
        <v>2300</v>
      </c>
    </row>
    <row r="15" ht="15.75" customHeight="1">
      <c r="A15" s="26" t="s">
        <v>21</v>
      </c>
      <c r="B15" s="27">
        <v>9.0</v>
      </c>
      <c r="C15" s="28">
        <v>70.0</v>
      </c>
      <c r="D15" s="29">
        <f t="shared" si="1"/>
        <v>630</v>
      </c>
    </row>
    <row r="16" ht="15.75" customHeight="1">
      <c r="A16" s="26"/>
      <c r="B16" s="27">
        <v>2.0</v>
      </c>
      <c r="C16" s="28">
        <v>50.0</v>
      </c>
      <c r="D16" s="29">
        <f t="shared" si="1"/>
        <v>100</v>
      </c>
    </row>
    <row r="17" ht="15.75" customHeight="1">
      <c r="A17" s="26"/>
      <c r="B17" s="27"/>
      <c r="C17" s="28"/>
      <c r="D17" s="29"/>
    </row>
    <row r="18" ht="15.75" customHeight="1">
      <c r="A18" s="26"/>
      <c r="B18" s="27"/>
      <c r="C18" s="28"/>
      <c r="D18" s="29"/>
    </row>
    <row r="19" ht="15.75" customHeight="1">
      <c r="A19" s="26"/>
      <c r="B19" s="30"/>
      <c r="C19" s="31"/>
      <c r="D19" s="32"/>
    </row>
    <row r="20" ht="15.75" customHeight="1">
      <c r="A20" s="33" t="s">
        <v>23</v>
      </c>
      <c r="B20" s="34"/>
      <c r="C20" s="34"/>
      <c r="D20" s="35">
        <f>SUM(D12:D19)</f>
        <v>10880</v>
      </c>
    </row>
    <row r="21" ht="15.75" customHeight="1">
      <c r="A21" s="36" t="s">
        <v>24</v>
      </c>
      <c r="B21" s="37"/>
      <c r="C21" s="37"/>
      <c r="D21" s="38">
        <f>D12+D13</f>
        <v>7850</v>
      </c>
    </row>
    <row r="22" ht="15.75" customHeight="1">
      <c r="A22" s="39" t="s">
        <v>25</v>
      </c>
      <c r="B22" s="40"/>
      <c r="C22" s="40"/>
      <c r="D22" s="40"/>
    </row>
    <row r="23" ht="15.75" customHeight="1">
      <c r="A23" s="41"/>
      <c r="B23" s="42" t="s">
        <v>15</v>
      </c>
      <c r="C23" s="42" t="s">
        <v>16</v>
      </c>
      <c r="D23" s="42" t="s">
        <v>17</v>
      </c>
    </row>
    <row r="24" ht="15.75" customHeight="1">
      <c r="A24" s="43" t="s">
        <v>26</v>
      </c>
      <c r="B24" s="44"/>
      <c r="C24" s="45"/>
      <c r="D24" s="45"/>
    </row>
    <row r="25" ht="15.75" customHeight="1">
      <c r="A25" s="43" t="s">
        <v>27</v>
      </c>
      <c r="B25" s="44"/>
      <c r="C25" s="45"/>
      <c r="D25" s="45"/>
    </row>
    <row r="26" ht="15.75" customHeight="1">
      <c r="A26" s="43" t="s">
        <v>28</v>
      </c>
      <c r="B26" s="44"/>
      <c r="C26" s="45"/>
      <c r="D26" s="45">
        <f t="shared" ref="D26:D27" si="2">B26*C26</f>
        <v>0</v>
      </c>
    </row>
    <row r="27" ht="15.75" customHeight="1">
      <c r="A27" s="43" t="s">
        <v>30</v>
      </c>
      <c r="B27" s="44"/>
      <c r="C27" s="45"/>
      <c r="D27" s="45">
        <f t="shared" si="2"/>
        <v>0</v>
      </c>
    </row>
    <row r="28" ht="15.75" customHeight="1">
      <c r="A28" s="43" t="s">
        <v>35</v>
      </c>
      <c r="B28" s="44"/>
      <c r="C28" s="45"/>
      <c r="D28" s="45"/>
    </row>
    <row r="29" ht="15.75" customHeight="1">
      <c r="A29" s="43" t="s">
        <v>32</v>
      </c>
      <c r="B29" s="44"/>
      <c r="C29" s="45"/>
      <c r="D29" s="45">
        <v>190.0</v>
      </c>
    </row>
    <row r="30" ht="15.75" customHeight="1">
      <c r="A30" s="43" t="s">
        <v>33</v>
      </c>
      <c r="B30" s="44"/>
      <c r="C30" s="45"/>
      <c r="D30" s="45">
        <f t="shared" ref="D30:D34" si="3">B30*C30</f>
        <v>0</v>
      </c>
      <c r="I30" s="46"/>
    </row>
    <row r="31" ht="15.75" customHeight="1">
      <c r="A31" s="43" t="s">
        <v>34</v>
      </c>
      <c r="B31" s="44"/>
      <c r="C31" s="45"/>
      <c r="D31" s="45">
        <f t="shared" si="3"/>
        <v>0</v>
      </c>
    </row>
    <row r="32" ht="15.75" customHeight="1">
      <c r="A32" s="43" t="s">
        <v>36</v>
      </c>
      <c r="B32" s="44"/>
      <c r="C32" s="45"/>
      <c r="D32" s="45">
        <f t="shared" si="3"/>
        <v>0</v>
      </c>
      <c r="I32" s="47"/>
    </row>
    <row r="33" ht="15.75" customHeight="1">
      <c r="A33" s="43" t="s">
        <v>37</v>
      </c>
      <c r="B33" s="44"/>
      <c r="C33" s="45"/>
      <c r="D33" s="45">
        <f t="shared" si="3"/>
        <v>0</v>
      </c>
    </row>
    <row r="34" ht="15.75" customHeight="1">
      <c r="A34" s="43" t="s">
        <v>38</v>
      </c>
      <c r="B34" s="44">
        <v>7.5</v>
      </c>
      <c r="C34" s="45">
        <v>173.5</v>
      </c>
      <c r="D34" s="45">
        <f t="shared" si="3"/>
        <v>1301.25</v>
      </c>
    </row>
    <row r="35" ht="15.75" customHeight="1">
      <c r="A35" s="43" t="s">
        <v>39</v>
      </c>
      <c r="B35" s="44"/>
      <c r="C35" s="45"/>
      <c r="D35" s="45">
        <f>D21*10%</f>
        <v>785</v>
      </c>
    </row>
    <row r="36" ht="15.75" customHeight="1">
      <c r="A36" s="48" t="s">
        <v>40</v>
      </c>
      <c r="B36" s="49"/>
      <c r="C36" s="49"/>
      <c r="D36" s="50">
        <f>SUM(D24:D35)</f>
        <v>2276.25</v>
      </c>
      <c r="I36" s="47"/>
    </row>
    <row r="37" ht="15.75" customHeight="1">
      <c r="A37" s="48"/>
      <c r="B37" s="15"/>
      <c r="C37" s="15"/>
      <c r="D37" s="50"/>
    </row>
    <row r="38" ht="15.75" customHeight="1">
      <c r="A38" s="48" t="s">
        <v>41</v>
      </c>
      <c r="B38" s="51" t="s">
        <v>15</v>
      </c>
      <c r="C38" s="51" t="s">
        <v>16</v>
      </c>
      <c r="D38" s="51" t="s">
        <v>17</v>
      </c>
    </row>
    <row r="39" ht="15.75" customHeight="1">
      <c r="A39" s="52" t="s">
        <v>42</v>
      </c>
      <c r="B39" s="52"/>
      <c r="C39" s="53"/>
      <c r="D39" s="53"/>
    </row>
    <row r="40" ht="15.75" customHeight="1">
      <c r="A40" s="52"/>
      <c r="B40" s="52"/>
      <c r="C40" s="53"/>
      <c r="D40" s="53"/>
    </row>
    <row r="41" ht="15.75" customHeight="1">
      <c r="A41" s="54" t="s">
        <v>43</v>
      </c>
      <c r="B41" s="15"/>
      <c r="C41" s="15"/>
      <c r="D41" s="55">
        <f>D21-D36</f>
        <v>5573.75</v>
      </c>
    </row>
    <row r="42" ht="15.75" customHeight="1">
      <c r="A42" s="15"/>
      <c r="B42" s="15"/>
      <c r="C42" s="15"/>
      <c r="D42" s="49"/>
      <c r="I42" s="46"/>
    </row>
    <row r="43" ht="15.75" customHeight="1">
      <c r="A43" s="56" t="s">
        <v>44</v>
      </c>
      <c r="B43" s="56"/>
      <c r="C43" s="56"/>
      <c r="D43" s="57">
        <f>D41*50%</f>
        <v>2786.875</v>
      </c>
    </row>
    <row r="44" ht="15.75" customHeight="1">
      <c r="A44" s="58" t="s">
        <v>45</v>
      </c>
      <c r="B44" s="58"/>
      <c r="C44" s="58"/>
      <c r="D44" s="59">
        <f>D41-D43</f>
        <v>2786.875</v>
      </c>
      <c r="I44" s="60"/>
    </row>
    <row r="45" ht="15.75" customHeight="1">
      <c r="A45" s="54"/>
      <c r="B45" s="15"/>
      <c r="C45" s="15"/>
      <c r="D45" s="61"/>
    </row>
    <row r="46" ht="15.75" customHeight="1">
      <c r="A46" s="62" t="s">
        <v>46</v>
      </c>
      <c r="B46" s="62"/>
      <c r="C46" s="62"/>
      <c r="D46" s="63">
        <f>D43-D12</f>
        <v>2786.875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37.0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46166.0</v>
      </c>
      <c r="C4" s="13"/>
      <c r="D4" s="14">
        <v>46173.0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38.0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6</v>
      </c>
      <c r="C8" s="9"/>
      <c r="D8" s="10"/>
    </row>
    <row r="9" ht="15.75" customHeight="1">
      <c r="A9" s="17" t="s">
        <v>7</v>
      </c>
      <c r="B9" s="18"/>
      <c r="C9" s="18" t="s">
        <v>11</v>
      </c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18</v>
      </c>
      <c r="B12" s="27"/>
      <c r="C12" s="28"/>
      <c r="D12" s="29"/>
    </row>
    <row r="13" ht="15.75" customHeight="1">
      <c r="A13" s="26" t="s">
        <v>19</v>
      </c>
      <c r="B13" s="27"/>
      <c r="C13" s="28"/>
      <c r="D13" s="29">
        <v>9610.0</v>
      </c>
    </row>
    <row r="14" ht="15.75" customHeight="1">
      <c r="A14" s="26" t="s">
        <v>20</v>
      </c>
      <c r="B14" s="27">
        <v>29.0</v>
      </c>
      <c r="C14" s="28">
        <v>100.0</v>
      </c>
      <c r="D14" s="29">
        <f t="shared" ref="D14:D16" si="1">B14*C14</f>
        <v>2900</v>
      </c>
    </row>
    <row r="15" ht="15.75" customHeight="1">
      <c r="A15" s="26" t="s">
        <v>21</v>
      </c>
      <c r="B15" s="27">
        <v>6.0</v>
      </c>
      <c r="C15" s="28">
        <v>70.0</v>
      </c>
      <c r="D15" s="29">
        <f t="shared" si="1"/>
        <v>420</v>
      </c>
    </row>
    <row r="16" ht="15.75" customHeight="1">
      <c r="A16" s="26"/>
      <c r="B16" s="27">
        <v>2.0</v>
      </c>
      <c r="C16" s="28">
        <v>50.0</v>
      </c>
      <c r="D16" s="29">
        <f t="shared" si="1"/>
        <v>100</v>
      </c>
    </row>
    <row r="17" ht="15.75" customHeight="1">
      <c r="A17" s="26"/>
      <c r="B17" s="27" t="s">
        <v>22</v>
      </c>
      <c r="C17" s="28"/>
      <c r="D17" s="29"/>
    </row>
    <row r="18" ht="15.75" customHeight="1">
      <c r="A18" s="26"/>
      <c r="B18" s="27"/>
      <c r="C18" s="28"/>
      <c r="D18" s="29"/>
    </row>
    <row r="19" ht="15.75" customHeight="1">
      <c r="A19" s="26"/>
      <c r="B19" s="30"/>
      <c r="C19" s="31"/>
      <c r="D19" s="32"/>
    </row>
    <row r="20" ht="15.75" customHeight="1">
      <c r="A20" s="33" t="s">
        <v>23</v>
      </c>
      <c r="B20" s="34"/>
      <c r="C20" s="34"/>
      <c r="D20" s="35">
        <f>SUM(D12:D19)</f>
        <v>13030</v>
      </c>
    </row>
    <row r="21" ht="15.75" customHeight="1">
      <c r="A21" s="36" t="s">
        <v>24</v>
      </c>
      <c r="B21" s="37"/>
      <c r="C21" s="37"/>
      <c r="D21" s="38">
        <f>D12+D13</f>
        <v>9610</v>
      </c>
    </row>
    <row r="22" ht="15.75" customHeight="1">
      <c r="A22" s="39" t="s">
        <v>25</v>
      </c>
      <c r="B22" s="40"/>
      <c r="C22" s="40"/>
      <c r="D22" s="40"/>
    </row>
    <row r="23" ht="15.75" customHeight="1">
      <c r="A23" s="41"/>
      <c r="B23" s="42" t="s">
        <v>15</v>
      </c>
      <c r="C23" s="42" t="s">
        <v>16</v>
      </c>
      <c r="D23" s="42" t="s">
        <v>17</v>
      </c>
    </row>
    <row r="24" ht="15.75" customHeight="1">
      <c r="A24" s="43" t="s">
        <v>29</v>
      </c>
      <c r="B24" s="44"/>
      <c r="C24" s="45"/>
      <c r="D24" s="45">
        <v>455.0</v>
      </c>
    </row>
    <row r="25" ht="15.75" customHeight="1">
      <c r="A25" s="43" t="s">
        <v>27</v>
      </c>
      <c r="B25" s="44"/>
      <c r="C25" s="45"/>
      <c r="D25" s="45">
        <v>410.0</v>
      </c>
    </row>
    <row r="26" ht="15.75" customHeight="1">
      <c r="A26" s="43" t="s">
        <v>28</v>
      </c>
      <c r="B26" s="44">
        <v>29.0</v>
      </c>
      <c r="C26" s="45">
        <v>20.0</v>
      </c>
      <c r="D26" s="45">
        <f t="shared" ref="D26:D27" si="2">B26*C26</f>
        <v>580</v>
      </c>
    </row>
    <row r="27" ht="15.75" customHeight="1">
      <c r="A27" s="43" t="s">
        <v>30</v>
      </c>
      <c r="B27" s="44"/>
      <c r="C27" s="45"/>
      <c r="D27" s="45">
        <f t="shared" si="2"/>
        <v>0</v>
      </c>
    </row>
    <row r="28" ht="15.75" customHeight="1">
      <c r="A28" s="43" t="s">
        <v>35</v>
      </c>
      <c r="B28" s="44"/>
      <c r="C28" s="45"/>
      <c r="D28" s="45"/>
    </row>
    <row r="29" ht="15.75" customHeight="1">
      <c r="A29" s="43" t="s">
        <v>32</v>
      </c>
      <c r="B29" s="44"/>
      <c r="C29" s="45"/>
      <c r="D29" s="45">
        <v>190.0</v>
      </c>
    </row>
    <row r="30" ht="15.75" customHeight="1">
      <c r="A30" s="43" t="s">
        <v>33</v>
      </c>
      <c r="B30" s="44"/>
      <c r="C30" s="45"/>
      <c r="D30" s="45">
        <f t="shared" ref="D30:D34" si="3">B30*C30</f>
        <v>0</v>
      </c>
      <c r="I30" s="46"/>
    </row>
    <row r="31" ht="15.75" customHeight="1">
      <c r="A31" s="43" t="s">
        <v>34</v>
      </c>
      <c r="B31" s="44">
        <v>4.0</v>
      </c>
      <c r="C31" s="45">
        <v>56.0</v>
      </c>
      <c r="D31" s="45">
        <f t="shared" si="3"/>
        <v>224</v>
      </c>
    </row>
    <row r="32" ht="15.75" customHeight="1">
      <c r="A32" s="43" t="s">
        <v>36</v>
      </c>
      <c r="B32" s="44">
        <v>8.0</v>
      </c>
      <c r="C32" s="45">
        <v>33.0</v>
      </c>
      <c r="D32" s="45">
        <f t="shared" si="3"/>
        <v>264</v>
      </c>
      <c r="I32" s="47"/>
    </row>
    <row r="33" ht="15.75" customHeight="1">
      <c r="A33" s="43" t="s">
        <v>37</v>
      </c>
      <c r="B33" s="44">
        <v>31.0</v>
      </c>
      <c r="C33" s="45">
        <v>33.0</v>
      </c>
      <c r="D33" s="45">
        <f t="shared" si="3"/>
        <v>1023</v>
      </c>
    </row>
    <row r="34" ht="15.75" customHeight="1">
      <c r="A34" s="43" t="s">
        <v>38</v>
      </c>
      <c r="B34" s="44">
        <v>7.5</v>
      </c>
      <c r="C34" s="45">
        <v>200.0</v>
      </c>
      <c r="D34" s="45">
        <f t="shared" si="3"/>
        <v>1500</v>
      </c>
    </row>
    <row r="35" ht="15.75" customHeight="1">
      <c r="A35" s="43" t="s">
        <v>39</v>
      </c>
      <c r="B35" s="44"/>
      <c r="C35" s="45"/>
      <c r="D35" s="45">
        <f>D21*10%</f>
        <v>961</v>
      </c>
    </row>
    <row r="36" ht="15.75" customHeight="1">
      <c r="A36" s="48" t="s">
        <v>40</v>
      </c>
      <c r="B36" s="49"/>
      <c r="C36" s="49"/>
      <c r="D36" s="50">
        <f>SUM(D24:D35)</f>
        <v>5607</v>
      </c>
      <c r="I36" s="47"/>
    </row>
    <row r="37" ht="15.75" customHeight="1">
      <c r="A37" s="48"/>
      <c r="B37" s="15"/>
      <c r="C37" s="15"/>
      <c r="D37" s="50"/>
    </row>
    <row r="38" ht="15.75" customHeight="1">
      <c r="A38" s="48" t="s">
        <v>41</v>
      </c>
      <c r="B38" s="51" t="s">
        <v>15</v>
      </c>
      <c r="C38" s="51" t="s">
        <v>16</v>
      </c>
      <c r="D38" s="51" t="s">
        <v>17</v>
      </c>
    </row>
    <row r="39" ht="15.75" customHeight="1">
      <c r="A39" s="52" t="s">
        <v>42</v>
      </c>
      <c r="B39" s="52"/>
      <c r="C39" s="53"/>
      <c r="D39" s="53"/>
    </row>
    <row r="40" ht="15.75" customHeight="1">
      <c r="A40" s="52"/>
      <c r="B40" s="52"/>
      <c r="C40" s="53"/>
      <c r="D40" s="53"/>
    </row>
    <row r="41" ht="15.75" customHeight="1">
      <c r="A41" s="54" t="s">
        <v>43</v>
      </c>
      <c r="B41" s="15"/>
      <c r="C41" s="15"/>
      <c r="D41" s="55">
        <f>D21-D36</f>
        <v>4003</v>
      </c>
    </row>
    <row r="42" ht="15.75" customHeight="1">
      <c r="A42" s="15"/>
      <c r="B42" s="15"/>
      <c r="C42" s="15"/>
      <c r="D42" s="49"/>
      <c r="I42" s="46"/>
    </row>
    <row r="43" ht="15.75" customHeight="1">
      <c r="A43" s="56" t="s">
        <v>44</v>
      </c>
      <c r="B43" s="56"/>
      <c r="C43" s="56"/>
      <c r="D43" s="57">
        <f>D41*50%</f>
        <v>2001.5</v>
      </c>
    </row>
    <row r="44" ht="15.75" customHeight="1">
      <c r="A44" s="58" t="s">
        <v>45</v>
      </c>
      <c r="B44" s="58"/>
      <c r="C44" s="58"/>
      <c r="D44" s="59">
        <f>D41-D43</f>
        <v>2001.5</v>
      </c>
      <c r="I44" s="60"/>
    </row>
    <row r="45" ht="15.75" customHeight="1">
      <c r="A45" s="54"/>
      <c r="B45" s="15"/>
      <c r="C45" s="15"/>
      <c r="D45" s="61"/>
    </row>
    <row r="46" ht="15.75" customHeight="1">
      <c r="A46" s="62" t="s">
        <v>46</v>
      </c>
      <c r="B46" s="62"/>
      <c r="C46" s="62"/>
      <c r="D46" s="63">
        <f>D43-D12</f>
        <v>2001.5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37.0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46180.0</v>
      </c>
      <c r="C4" s="13"/>
      <c r="D4" s="14">
        <v>46187.0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24.0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6</v>
      </c>
      <c r="C8" s="9"/>
      <c r="D8" s="10"/>
    </row>
    <row r="9" ht="15.75" customHeight="1">
      <c r="A9" s="17" t="s">
        <v>7</v>
      </c>
      <c r="B9" s="18"/>
      <c r="C9" s="18"/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49</v>
      </c>
      <c r="B12" s="27">
        <v>1.0</v>
      </c>
      <c r="C12" s="28">
        <v>295.0</v>
      </c>
      <c r="D12" s="29">
        <f t="shared" ref="D12:D13" si="1">B12*C12</f>
        <v>295</v>
      </c>
    </row>
    <row r="13" ht="15.75" customHeight="1">
      <c r="A13" s="26" t="s">
        <v>50</v>
      </c>
      <c r="B13" s="27">
        <v>1.0</v>
      </c>
      <c r="C13" s="28">
        <v>160.0</v>
      </c>
      <c r="D13" s="29">
        <f t="shared" si="1"/>
        <v>160</v>
      </c>
    </row>
    <row r="14" ht="15.75" customHeight="1">
      <c r="A14" s="26" t="s">
        <v>19</v>
      </c>
      <c r="B14" s="27"/>
      <c r="C14" s="28"/>
      <c r="D14" s="29">
        <v>9865.0</v>
      </c>
    </row>
    <row r="15" ht="15.75" customHeight="1">
      <c r="A15" s="26" t="s">
        <v>20</v>
      </c>
      <c r="B15" s="27">
        <v>24.0</v>
      </c>
      <c r="C15" s="28">
        <v>150.0</v>
      </c>
      <c r="D15" s="29">
        <f t="shared" ref="D15:D17" si="2">B15*C15</f>
        <v>3600</v>
      </c>
    </row>
    <row r="16" ht="15.75" customHeight="1">
      <c r="A16" s="26" t="s">
        <v>21</v>
      </c>
      <c r="B16" s="27"/>
      <c r="C16" s="28"/>
      <c r="D16" s="29">
        <f t="shared" si="2"/>
        <v>0</v>
      </c>
    </row>
    <row r="17" ht="15.75" customHeight="1">
      <c r="A17" s="26"/>
      <c r="B17" s="27"/>
      <c r="C17" s="28"/>
      <c r="D17" s="29">
        <f t="shared" si="2"/>
        <v>0</v>
      </c>
    </row>
    <row r="18" ht="15.75" customHeight="1">
      <c r="A18" s="26"/>
      <c r="B18" s="27"/>
      <c r="C18" s="28"/>
      <c r="D18" s="29"/>
    </row>
    <row r="19" ht="15.75" customHeight="1">
      <c r="A19" s="26"/>
      <c r="B19" s="27"/>
      <c r="C19" s="28"/>
      <c r="D19" s="29"/>
    </row>
    <row r="20" ht="15.75" customHeight="1">
      <c r="A20" s="26"/>
      <c r="B20" s="30"/>
      <c r="C20" s="31"/>
      <c r="D20" s="32"/>
    </row>
    <row r="21" ht="15.75" customHeight="1">
      <c r="A21" s="33" t="s">
        <v>23</v>
      </c>
      <c r="B21" s="34"/>
      <c r="C21" s="34"/>
      <c r="D21" s="35">
        <f>SUM(D12:D20)</f>
        <v>13920</v>
      </c>
    </row>
    <row r="22" ht="15.75" customHeight="1">
      <c r="A22" s="36" t="s">
        <v>24</v>
      </c>
      <c r="B22" s="37"/>
      <c r="C22" s="37"/>
      <c r="D22" s="38">
        <f>D12+D13+D14</f>
        <v>10320</v>
      </c>
    </row>
    <row r="23" ht="15.75" customHeight="1">
      <c r="A23" s="39" t="s">
        <v>25</v>
      </c>
      <c r="B23" s="40"/>
      <c r="C23" s="40"/>
      <c r="D23" s="40"/>
    </row>
    <row r="24" ht="15.75" customHeight="1">
      <c r="A24" s="41"/>
      <c r="B24" s="42" t="s">
        <v>15</v>
      </c>
      <c r="C24" s="42" t="s">
        <v>16</v>
      </c>
      <c r="D24" s="42" t="s">
        <v>17</v>
      </c>
    </row>
    <row r="25" ht="15.75" customHeight="1">
      <c r="A25" s="43" t="s">
        <v>29</v>
      </c>
      <c r="B25" s="44"/>
      <c r="C25" s="45"/>
      <c r="D25" s="45">
        <v>381.0</v>
      </c>
    </row>
    <row r="26" ht="15.75" customHeight="1">
      <c r="A26" s="43" t="s">
        <v>27</v>
      </c>
      <c r="B26" s="44"/>
      <c r="C26" s="45"/>
      <c r="D26" s="45">
        <v>555.0</v>
      </c>
    </row>
    <row r="27" ht="15.75" customHeight="1">
      <c r="A27" s="43" t="s">
        <v>28</v>
      </c>
      <c r="B27" s="44">
        <v>11.0</v>
      </c>
      <c r="C27" s="45">
        <v>20.0</v>
      </c>
      <c r="D27" s="45">
        <f>B27*C27</f>
        <v>220</v>
      </c>
    </row>
    <row r="28" ht="15.75" customHeight="1">
      <c r="A28" s="43" t="s">
        <v>53</v>
      </c>
      <c r="B28" s="44"/>
      <c r="C28" s="45"/>
      <c r="D28" s="45">
        <v>120.0</v>
      </c>
    </row>
    <row r="29" ht="15.75" customHeight="1">
      <c r="A29" s="43" t="s">
        <v>54</v>
      </c>
      <c r="B29" s="44"/>
      <c r="C29" s="45"/>
      <c r="D29" s="45">
        <v>65.0</v>
      </c>
    </row>
    <row r="30" ht="15.75" customHeight="1">
      <c r="A30" s="43" t="s">
        <v>32</v>
      </c>
      <c r="B30" s="44"/>
      <c r="C30" s="45"/>
      <c r="D30" s="45">
        <v>195.0</v>
      </c>
    </row>
    <row r="31" ht="15.75" customHeight="1">
      <c r="A31" s="43" t="s">
        <v>33</v>
      </c>
      <c r="B31" s="44">
        <v>16.0</v>
      </c>
      <c r="C31" s="45">
        <v>28.0</v>
      </c>
      <c r="D31" s="45">
        <f t="shared" ref="D31:D36" si="3">B31*C31</f>
        <v>448</v>
      </c>
      <c r="I31" s="46"/>
    </row>
    <row r="32" ht="15.75" customHeight="1">
      <c r="A32" s="43" t="s">
        <v>52</v>
      </c>
      <c r="B32" s="44">
        <v>19.0</v>
      </c>
      <c r="C32" s="45">
        <v>23.0</v>
      </c>
      <c r="D32" s="45">
        <f t="shared" si="3"/>
        <v>437</v>
      </c>
      <c r="I32" s="46"/>
    </row>
    <row r="33" ht="15.75" customHeight="1">
      <c r="A33" s="43" t="s">
        <v>34</v>
      </c>
      <c r="B33" s="44">
        <v>7.0</v>
      </c>
      <c r="C33" s="45">
        <v>56.0</v>
      </c>
      <c r="D33" s="45">
        <f t="shared" si="3"/>
        <v>392</v>
      </c>
    </row>
    <row r="34" ht="15.75" customHeight="1">
      <c r="A34" s="43" t="s">
        <v>36</v>
      </c>
      <c r="B34" s="44">
        <v>18.0</v>
      </c>
      <c r="C34" s="45">
        <v>33.0</v>
      </c>
      <c r="D34" s="45">
        <f t="shared" si="3"/>
        <v>594</v>
      </c>
      <c r="I34" s="47"/>
    </row>
    <row r="35" ht="15.75" customHeight="1">
      <c r="A35" s="43" t="s">
        <v>37</v>
      </c>
      <c r="B35" s="44">
        <v>11.0</v>
      </c>
      <c r="C35" s="45">
        <v>37.0</v>
      </c>
      <c r="D35" s="45">
        <f t="shared" si="3"/>
        <v>407</v>
      </c>
    </row>
    <row r="36" ht="15.75" customHeight="1">
      <c r="A36" s="43" t="s">
        <v>38</v>
      </c>
      <c r="B36" s="44">
        <v>7.5</v>
      </c>
      <c r="C36" s="45">
        <v>200.0</v>
      </c>
      <c r="D36" s="45">
        <f t="shared" si="3"/>
        <v>1500</v>
      </c>
    </row>
    <row r="37" ht="15.75" customHeight="1">
      <c r="A37" s="43" t="s">
        <v>39</v>
      </c>
      <c r="B37" s="44"/>
      <c r="C37" s="45"/>
      <c r="D37" s="45">
        <f>(D22*10%)+150</f>
        <v>1182</v>
      </c>
    </row>
    <row r="38" ht="15.75" customHeight="1">
      <c r="A38" s="48" t="s">
        <v>40</v>
      </c>
      <c r="B38" s="49"/>
      <c r="C38" s="49"/>
      <c r="D38" s="50">
        <f>SUM(D25:D37)</f>
        <v>6496</v>
      </c>
      <c r="I38" s="47"/>
    </row>
    <row r="39" ht="15.75" customHeight="1">
      <c r="A39" s="48"/>
      <c r="B39" s="15"/>
      <c r="C39" s="15"/>
      <c r="D39" s="50"/>
    </row>
    <row r="40" ht="15.75" customHeight="1">
      <c r="A40" s="48" t="s">
        <v>41</v>
      </c>
      <c r="B40" s="51" t="s">
        <v>15</v>
      </c>
      <c r="C40" s="51" t="s">
        <v>16</v>
      </c>
      <c r="D40" s="51" t="s">
        <v>17</v>
      </c>
    </row>
    <row r="41" ht="15.75" customHeight="1">
      <c r="A41" s="52" t="s">
        <v>42</v>
      </c>
      <c r="B41" s="52"/>
      <c r="C41" s="53"/>
      <c r="D41" s="65">
        <v>5500.0</v>
      </c>
    </row>
    <row r="42" ht="15.75" customHeight="1">
      <c r="A42" s="52"/>
      <c r="B42" s="52"/>
      <c r="C42" s="53"/>
      <c r="D42" s="53"/>
    </row>
    <row r="43" ht="15.75" customHeight="1">
      <c r="A43" s="54" t="s">
        <v>43</v>
      </c>
      <c r="B43" s="15"/>
      <c r="C43" s="15"/>
      <c r="D43" s="55">
        <f>D21-D38-D41</f>
        <v>1924</v>
      </c>
    </row>
    <row r="44" ht="15.75" customHeight="1">
      <c r="A44" s="15"/>
      <c r="B44" s="15"/>
      <c r="C44" s="15"/>
      <c r="D44" s="49"/>
      <c r="I44" s="46"/>
    </row>
    <row r="45" ht="15.75" customHeight="1"/>
    <row r="46" ht="15.75" customHeight="1">
      <c r="A46" s="66" t="s">
        <v>55</v>
      </c>
      <c r="D46" s="67">
        <v>5916.0</v>
      </c>
    </row>
    <row r="47" ht="15.75" customHeight="1">
      <c r="D47" s="68"/>
    </row>
    <row r="48" ht="15.75" customHeight="1">
      <c r="D48" s="68"/>
    </row>
    <row r="49" ht="15.75" customHeight="1">
      <c r="A49" s="66" t="s">
        <v>56</v>
      </c>
      <c r="D49" s="68">
        <v>2448.0</v>
      </c>
    </row>
    <row r="50" ht="15.75" customHeight="1">
      <c r="A50" s="66" t="s">
        <v>57</v>
      </c>
      <c r="D50" s="68">
        <v>2196.0</v>
      </c>
      <c r="G50" s="66" t="s">
        <v>61</v>
      </c>
    </row>
    <row r="51" ht="15.75" customHeight="1">
      <c r="A51" s="66" t="s">
        <v>62</v>
      </c>
      <c r="D51" s="69">
        <v>2820.0</v>
      </c>
    </row>
    <row r="52" ht="15.75" customHeight="1">
      <c r="D52" s="70"/>
    </row>
    <row r="53" ht="24.75" customHeight="1">
      <c r="A53" s="66" t="s">
        <v>63</v>
      </c>
      <c r="D53" s="71">
        <f>(D49+D50+D51)/B6</f>
        <v>311</v>
      </c>
    </row>
    <row r="54" ht="28.5" customHeight="1">
      <c r="A54" s="72" t="s">
        <v>60</v>
      </c>
      <c r="B54" s="72"/>
      <c r="C54" s="72"/>
      <c r="D54" s="73">
        <f>D43+D46-D49-D50-D51-D12-D13</f>
        <v>-79</v>
      </c>
    </row>
    <row r="55" ht="15.75" customHeight="1">
      <c r="D55" s="74"/>
    </row>
    <row r="56" ht="15.75" customHeight="1">
      <c r="D56" s="74"/>
    </row>
    <row r="57" ht="15.75" customHeight="1">
      <c r="D57" s="74"/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37.0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46187.0</v>
      </c>
      <c r="C4" s="13"/>
      <c r="D4" s="14">
        <v>46194.0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20.0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6</v>
      </c>
      <c r="C8" s="9"/>
      <c r="D8" s="10"/>
    </row>
    <row r="9" ht="15.75" customHeight="1">
      <c r="A9" s="17" t="s">
        <v>7</v>
      </c>
      <c r="B9" s="18"/>
      <c r="C9" s="18"/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47</v>
      </c>
      <c r="B12" s="27">
        <v>8.0</v>
      </c>
      <c r="C12" s="28">
        <v>295.0</v>
      </c>
      <c r="D12" s="29">
        <f t="shared" ref="D12:D13" si="1">B12*C12</f>
        <v>2360</v>
      </c>
    </row>
    <row r="13" ht="15.75" customHeight="1">
      <c r="A13" s="26" t="s">
        <v>48</v>
      </c>
      <c r="B13" s="27">
        <v>3.0</v>
      </c>
      <c r="C13" s="28">
        <v>160.0</v>
      </c>
      <c r="D13" s="29">
        <f t="shared" si="1"/>
        <v>480</v>
      </c>
    </row>
    <row r="14" ht="15.75" customHeight="1">
      <c r="A14" s="26" t="s">
        <v>19</v>
      </c>
      <c r="B14" s="27"/>
      <c r="C14" s="28"/>
      <c r="D14" s="29">
        <v>2415.0</v>
      </c>
    </row>
    <row r="15" ht="15.75" customHeight="1">
      <c r="A15" s="26" t="s">
        <v>20</v>
      </c>
      <c r="B15" s="27">
        <v>20.0</v>
      </c>
      <c r="C15" s="28">
        <v>150.0</v>
      </c>
      <c r="D15" s="29">
        <f t="shared" ref="D15:D17" si="2">B15*C15</f>
        <v>3000</v>
      </c>
    </row>
    <row r="16" ht="15.75" customHeight="1">
      <c r="A16" s="26" t="s">
        <v>21</v>
      </c>
      <c r="B16" s="27"/>
      <c r="C16" s="28"/>
      <c r="D16" s="29">
        <f t="shared" si="2"/>
        <v>0</v>
      </c>
    </row>
    <row r="17" ht="15.75" customHeight="1">
      <c r="A17" s="26"/>
      <c r="B17" s="27"/>
      <c r="C17" s="28"/>
      <c r="D17" s="29">
        <f t="shared" si="2"/>
        <v>0</v>
      </c>
    </row>
    <row r="18" ht="15.75" customHeight="1">
      <c r="A18" s="26"/>
      <c r="B18" s="27"/>
      <c r="C18" s="28"/>
      <c r="D18" s="29"/>
    </row>
    <row r="19" ht="15.75" customHeight="1">
      <c r="A19" s="26"/>
      <c r="B19" s="27"/>
      <c r="C19" s="28"/>
      <c r="D19" s="29"/>
    </row>
    <row r="20" ht="15.75" customHeight="1">
      <c r="A20" s="26"/>
      <c r="B20" s="30"/>
      <c r="C20" s="31"/>
      <c r="D20" s="32"/>
    </row>
    <row r="21" ht="15.75" customHeight="1">
      <c r="A21" s="33" t="s">
        <v>23</v>
      </c>
      <c r="B21" s="34"/>
      <c r="C21" s="34"/>
      <c r="D21" s="35">
        <f>SUM(D12:D20)</f>
        <v>8255</v>
      </c>
    </row>
    <row r="22" ht="15.75" customHeight="1">
      <c r="A22" s="36" t="s">
        <v>24</v>
      </c>
      <c r="B22" s="37"/>
      <c r="C22" s="37"/>
      <c r="D22" s="38">
        <f>D12+D13+D14</f>
        <v>5255</v>
      </c>
    </row>
    <row r="23" ht="15.75" customHeight="1">
      <c r="A23" s="39" t="s">
        <v>25</v>
      </c>
      <c r="B23" s="40"/>
      <c r="C23" s="40"/>
      <c r="D23" s="40"/>
    </row>
    <row r="24" ht="15.75" customHeight="1">
      <c r="A24" s="41"/>
      <c r="B24" s="42" t="s">
        <v>15</v>
      </c>
      <c r="C24" s="42" t="s">
        <v>16</v>
      </c>
      <c r="D24" s="42" t="s">
        <v>17</v>
      </c>
    </row>
    <row r="25" ht="15.75" customHeight="1">
      <c r="A25" s="43" t="s">
        <v>29</v>
      </c>
      <c r="B25" s="44"/>
      <c r="C25" s="45"/>
      <c r="D25" s="45">
        <v>317.0</v>
      </c>
    </row>
    <row r="26" ht="15.75" customHeight="1">
      <c r="A26" s="43" t="s">
        <v>27</v>
      </c>
      <c r="B26" s="44"/>
      <c r="C26" s="45"/>
      <c r="D26" s="45">
        <v>370.0</v>
      </c>
    </row>
    <row r="27" ht="15.75" customHeight="1">
      <c r="A27" s="43" t="s">
        <v>28</v>
      </c>
      <c r="B27" s="44">
        <v>13.0</v>
      </c>
      <c r="C27" s="45">
        <v>20.0</v>
      </c>
      <c r="D27" s="45">
        <f>B27*C27</f>
        <v>260</v>
      </c>
    </row>
    <row r="28" ht="15.75" customHeight="1">
      <c r="A28" s="43" t="s">
        <v>30</v>
      </c>
      <c r="B28" s="44"/>
      <c r="C28" s="45"/>
      <c r="D28" s="45">
        <v>185.0</v>
      </c>
    </row>
    <row r="29" ht="15.75" customHeight="1">
      <c r="A29" s="43" t="s">
        <v>35</v>
      </c>
      <c r="B29" s="44"/>
      <c r="C29" s="45"/>
      <c r="D29" s="45"/>
    </row>
    <row r="30" ht="15.75" customHeight="1">
      <c r="A30" s="43" t="s">
        <v>32</v>
      </c>
      <c r="B30" s="44"/>
      <c r="C30" s="45"/>
      <c r="D30" s="45">
        <v>300.0</v>
      </c>
    </row>
    <row r="31" ht="15.75" customHeight="1">
      <c r="A31" s="43" t="s">
        <v>33</v>
      </c>
      <c r="B31" s="44"/>
      <c r="C31" s="45"/>
      <c r="D31" s="45">
        <f t="shared" ref="D31:D36" si="3">B31*C31</f>
        <v>0</v>
      </c>
      <c r="I31" s="46"/>
    </row>
    <row r="32" ht="15.75" customHeight="1">
      <c r="A32" s="43" t="s">
        <v>52</v>
      </c>
      <c r="B32" s="44">
        <v>7.0</v>
      </c>
      <c r="C32" s="45">
        <v>23.0</v>
      </c>
      <c r="D32" s="45">
        <f t="shared" si="3"/>
        <v>161</v>
      </c>
      <c r="I32" s="46"/>
    </row>
    <row r="33" ht="15.75" customHeight="1">
      <c r="A33" s="43" t="s">
        <v>34</v>
      </c>
      <c r="B33" s="44">
        <v>8.0</v>
      </c>
      <c r="C33" s="45">
        <v>56.0</v>
      </c>
      <c r="D33" s="45">
        <f t="shared" si="3"/>
        <v>448</v>
      </c>
    </row>
    <row r="34" ht="15.75" customHeight="1">
      <c r="A34" s="43" t="s">
        <v>36</v>
      </c>
      <c r="B34" s="44"/>
      <c r="C34" s="45"/>
      <c r="D34" s="45">
        <f t="shared" si="3"/>
        <v>0</v>
      </c>
      <c r="I34" s="47"/>
    </row>
    <row r="35" ht="15.75" customHeight="1">
      <c r="A35" s="43" t="s">
        <v>37</v>
      </c>
      <c r="B35" s="44">
        <v>5.0</v>
      </c>
      <c r="C35" s="45">
        <v>37.0</v>
      </c>
      <c r="D35" s="45">
        <f t="shared" si="3"/>
        <v>185</v>
      </c>
    </row>
    <row r="36" ht="15.75" customHeight="1">
      <c r="A36" s="43" t="s">
        <v>38</v>
      </c>
      <c r="B36" s="44">
        <v>7.5</v>
      </c>
      <c r="C36" s="45">
        <v>200.0</v>
      </c>
      <c r="D36" s="45">
        <f t="shared" si="3"/>
        <v>1500</v>
      </c>
    </row>
    <row r="37" ht="15.75" customHeight="1">
      <c r="A37" s="43" t="s">
        <v>39</v>
      </c>
      <c r="B37" s="44"/>
      <c r="C37" s="45"/>
      <c r="D37" s="45">
        <f>D22*10%</f>
        <v>525.5</v>
      </c>
    </row>
    <row r="38" ht="15.75" customHeight="1">
      <c r="A38" s="48" t="s">
        <v>40</v>
      </c>
      <c r="B38" s="49"/>
      <c r="C38" s="49"/>
      <c r="D38" s="50">
        <f>SUM(D25:D37)</f>
        <v>4251.5</v>
      </c>
      <c r="I38" s="47"/>
    </row>
    <row r="39" ht="15.75" customHeight="1">
      <c r="A39" s="48"/>
      <c r="B39" s="15"/>
      <c r="C39" s="15"/>
      <c r="D39" s="50"/>
    </row>
    <row r="40" ht="15.75" customHeight="1">
      <c r="A40" s="48" t="s">
        <v>41</v>
      </c>
      <c r="B40" s="51" t="s">
        <v>15</v>
      </c>
      <c r="C40" s="51" t="s">
        <v>16</v>
      </c>
      <c r="D40" s="51" t="s">
        <v>17</v>
      </c>
    </row>
    <row r="41" ht="15.75" customHeight="1">
      <c r="A41" s="52" t="s">
        <v>42</v>
      </c>
      <c r="B41" s="52"/>
      <c r="C41" s="53"/>
      <c r="D41" s="65">
        <v>5500.0</v>
      </c>
    </row>
    <row r="42" ht="15.75" customHeight="1">
      <c r="A42" s="52"/>
      <c r="B42" s="52"/>
      <c r="C42" s="53"/>
      <c r="D42" s="53"/>
    </row>
    <row r="43" ht="15.75" customHeight="1">
      <c r="A43" s="54" t="s">
        <v>43</v>
      </c>
      <c r="B43" s="15"/>
      <c r="C43" s="15"/>
      <c r="D43" s="55">
        <f>D21-D38-D41</f>
        <v>-1496.5</v>
      </c>
    </row>
    <row r="44" ht="15.75" customHeight="1">
      <c r="A44" s="15"/>
      <c r="B44" s="15"/>
      <c r="C44" s="15"/>
      <c r="D44" s="49"/>
      <c r="I44" s="46"/>
    </row>
    <row r="45" ht="15.75" customHeight="1"/>
    <row r="46" ht="15.75" customHeight="1">
      <c r="A46" s="66" t="s">
        <v>55</v>
      </c>
      <c r="D46" s="67">
        <v>7865.0</v>
      </c>
    </row>
    <row r="47" ht="15.75" customHeight="1">
      <c r="D47" s="68"/>
    </row>
    <row r="48" ht="15.75" customHeight="1">
      <c r="D48" s="68"/>
    </row>
    <row r="49" ht="15.75" customHeight="1">
      <c r="A49" s="66" t="s">
        <v>56</v>
      </c>
      <c r="D49" s="68">
        <v>2094.0</v>
      </c>
    </row>
    <row r="50" ht="15.75" customHeight="1">
      <c r="A50" s="66" t="s">
        <v>57</v>
      </c>
      <c r="D50" s="68">
        <v>2020.0</v>
      </c>
    </row>
    <row r="51" ht="15.75" customHeight="1">
      <c r="A51" s="66" t="s">
        <v>58</v>
      </c>
      <c r="D51" s="69">
        <v>1988.0</v>
      </c>
    </row>
    <row r="52" ht="15.75" customHeight="1">
      <c r="D52" s="70"/>
    </row>
    <row r="53" ht="15.75" customHeight="1">
      <c r="A53" s="66" t="s">
        <v>59</v>
      </c>
      <c r="D53" s="71">
        <f>(D49+D50+D51)/B6</f>
        <v>305.1</v>
      </c>
    </row>
    <row r="54" ht="15.75" customHeight="1">
      <c r="A54" s="72" t="s">
        <v>60</v>
      </c>
      <c r="B54" s="72"/>
      <c r="C54" s="72"/>
      <c r="D54" s="73">
        <f>D43+D46-D49-D50-D51-D12-D13</f>
        <v>-2573.5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24.89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51</v>
      </c>
      <c r="C3" s="9"/>
      <c r="D3" s="10"/>
    </row>
    <row r="4" ht="15.75" customHeight="1">
      <c r="A4" s="11" t="s">
        <v>3</v>
      </c>
      <c r="B4" s="64">
        <v>46199.0</v>
      </c>
      <c r="C4" s="13"/>
      <c r="D4" s="14">
        <v>46206.0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21.0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10</v>
      </c>
      <c r="C8" s="9"/>
      <c r="D8" s="10"/>
    </row>
    <row r="9" ht="15.75" customHeight="1">
      <c r="A9" s="17" t="s">
        <v>7</v>
      </c>
      <c r="B9" s="18"/>
      <c r="C9" s="18"/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47</v>
      </c>
      <c r="B12" s="27"/>
      <c r="C12" s="28">
        <v>295.0</v>
      </c>
      <c r="D12" s="29">
        <f t="shared" ref="D12:D13" si="1">B12*C12</f>
        <v>0</v>
      </c>
    </row>
    <row r="13" ht="15.75" customHeight="1">
      <c r="A13" s="26" t="s">
        <v>48</v>
      </c>
      <c r="B13" s="27"/>
      <c r="C13" s="28">
        <v>160.0</v>
      </c>
      <c r="D13" s="29">
        <f t="shared" si="1"/>
        <v>0</v>
      </c>
    </row>
    <row r="14" ht="15.75" customHeight="1">
      <c r="A14" s="26" t="s">
        <v>19</v>
      </c>
      <c r="B14" s="27"/>
      <c r="C14" s="28"/>
      <c r="D14" s="29">
        <v>5160.0</v>
      </c>
    </row>
    <row r="15" ht="15.75" customHeight="1">
      <c r="A15" s="26" t="s">
        <v>20</v>
      </c>
      <c r="B15" s="27">
        <v>21.0</v>
      </c>
      <c r="C15" s="28">
        <v>150.0</v>
      </c>
      <c r="D15" s="29">
        <f t="shared" ref="D15:D17" si="2">B15*C15</f>
        <v>3150</v>
      </c>
    </row>
    <row r="16" ht="15.75" customHeight="1">
      <c r="A16" s="26" t="s">
        <v>21</v>
      </c>
      <c r="B16" s="27"/>
      <c r="C16" s="28"/>
      <c r="D16" s="29">
        <f t="shared" si="2"/>
        <v>0</v>
      </c>
    </row>
    <row r="17" ht="15.75" customHeight="1">
      <c r="A17" s="26"/>
      <c r="B17" s="27"/>
      <c r="C17" s="28"/>
      <c r="D17" s="29">
        <f t="shared" si="2"/>
        <v>0</v>
      </c>
    </row>
    <row r="18" ht="15.75" customHeight="1">
      <c r="A18" s="26"/>
      <c r="B18" s="27"/>
      <c r="C18" s="28"/>
      <c r="D18" s="29"/>
    </row>
    <row r="19" ht="15.75" customHeight="1">
      <c r="A19" s="26"/>
      <c r="B19" s="27"/>
      <c r="C19" s="28"/>
      <c r="D19" s="29"/>
    </row>
    <row r="20" ht="15.75" customHeight="1">
      <c r="A20" s="26"/>
      <c r="B20" s="30"/>
      <c r="C20" s="31"/>
      <c r="D20" s="32"/>
    </row>
    <row r="21" ht="15.75" customHeight="1">
      <c r="A21" s="33" t="s">
        <v>23</v>
      </c>
      <c r="B21" s="34"/>
      <c r="C21" s="34"/>
      <c r="D21" s="35">
        <f>SUM(D12:D20)</f>
        <v>8310</v>
      </c>
    </row>
    <row r="22" ht="15.75" customHeight="1">
      <c r="A22" s="36" t="s">
        <v>24</v>
      </c>
      <c r="B22" s="37"/>
      <c r="C22" s="37"/>
      <c r="D22" s="38">
        <f>D12+D13+D14</f>
        <v>5160</v>
      </c>
    </row>
    <row r="23" ht="15.75" customHeight="1">
      <c r="A23" s="39" t="s">
        <v>25</v>
      </c>
      <c r="B23" s="40"/>
      <c r="C23" s="40"/>
      <c r="D23" s="40"/>
    </row>
    <row r="24" ht="15.75" customHeight="1">
      <c r="A24" s="41"/>
      <c r="B24" s="42" t="s">
        <v>15</v>
      </c>
      <c r="C24" s="42" t="s">
        <v>16</v>
      </c>
      <c r="D24" s="42" t="s">
        <v>17</v>
      </c>
    </row>
    <row r="25" ht="15.75" customHeight="1">
      <c r="A25" s="43" t="s">
        <v>29</v>
      </c>
      <c r="B25" s="44"/>
      <c r="C25" s="45"/>
      <c r="D25" s="45">
        <v>105.0</v>
      </c>
    </row>
    <row r="26" ht="15.75" customHeight="1">
      <c r="A26" s="43" t="s">
        <v>27</v>
      </c>
      <c r="B26" s="44"/>
      <c r="C26" s="45"/>
      <c r="D26" s="45">
        <v>480.0</v>
      </c>
    </row>
    <row r="27" ht="15.75" customHeight="1">
      <c r="A27" s="43" t="s">
        <v>28</v>
      </c>
      <c r="B27" s="44">
        <v>13.0</v>
      </c>
      <c r="C27" s="45"/>
      <c r="D27" s="45">
        <f t="shared" ref="D27:D28" si="3">B27*C27</f>
        <v>0</v>
      </c>
    </row>
    <row r="28" ht="15.75" customHeight="1">
      <c r="A28" s="43" t="s">
        <v>30</v>
      </c>
      <c r="B28" s="44"/>
      <c r="C28" s="45"/>
      <c r="D28" s="45">
        <f t="shared" si="3"/>
        <v>0</v>
      </c>
    </row>
    <row r="29" ht="15.75" customHeight="1">
      <c r="A29" s="43" t="s">
        <v>64</v>
      </c>
      <c r="B29" s="44"/>
      <c r="C29" s="45"/>
      <c r="D29" s="45">
        <v>185.0</v>
      </c>
    </row>
    <row r="30" ht="15.75" customHeight="1">
      <c r="A30" s="43" t="s">
        <v>32</v>
      </c>
      <c r="B30" s="44"/>
      <c r="C30" s="45"/>
      <c r="D30" s="45">
        <v>300.0</v>
      </c>
    </row>
    <row r="31" ht="15.75" customHeight="1">
      <c r="A31" s="43" t="s">
        <v>33</v>
      </c>
      <c r="B31" s="44"/>
      <c r="C31" s="45"/>
      <c r="D31" s="45">
        <f t="shared" ref="D31:D36" si="4">B31*C31</f>
        <v>0</v>
      </c>
      <c r="I31" s="46"/>
    </row>
    <row r="32" ht="15.75" customHeight="1">
      <c r="A32" s="43" t="s">
        <v>52</v>
      </c>
      <c r="B32" s="44">
        <v>7.0</v>
      </c>
      <c r="C32" s="45"/>
      <c r="D32" s="45">
        <f t="shared" si="4"/>
        <v>0</v>
      </c>
      <c r="I32" s="46"/>
    </row>
    <row r="33" ht="15.75" customHeight="1">
      <c r="A33" s="43" t="s">
        <v>34</v>
      </c>
      <c r="B33" s="44">
        <v>19.0</v>
      </c>
      <c r="C33" s="45"/>
      <c r="D33" s="45">
        <f t="shared" si="4"/>
        <v>0</v>
      </c>
    </row>
    <row r="34" ht="15.75" customHeight="1">
      <c r="A34" s="43" t="s">
        <v>36</v>
      </c>
      <c r="B34" s="44"/>
      <c r="C34" s="45"/>
      <c r="D34" s="45">
        <f t="shared" si="4"/>
        <v>0</v>
      </c>
      <c r="I34" s="47"/>
    </row>
    <row r="35" ht="15.75" customHeight="1">
      <c r="A35" s="43" t="s">
        <v>37</v>
      </c>
      <c r="B35" s="44">
        <v>5.0</v>
      </c>
      <c r="C35" s="45">
        <v>37.0</v>
      </c>
      <c r="D35" s="45">
        <f t="shared" si="4"/>
        <v>185</v>
      </c>
    </row>
    <row r="36" ht="15.75" customHeight="1">
      <c r="A36" s="43" t="s">
        <v>38</v>
      </c>
      <c r="B36" s="44">
        <v>7.5</v>
      </c>
      <c r="C36" s="45">
        <v>160.0</v>
      </c>
      <c r="D36" s="45">
        <f t="shared" si="4"/>
        <v>1200</v>
      </c>
    </row>
    <row r="37" ht="15.75" customHeight="1">
      <c r="A37" s="43" t="s">
        <v>39</v>
      </c>
      <c r="B37" s="44"/>
      <c r="C37" s="45"/>
      <c r="D37" s="45">
        <f>D22*10%</f>
        <v>516</v>
      </c>
    </row>
    <row r="38" ht="15.75" customHeight="1">
      <c r="A38" s="48" t="s">
        <v>40</v>
      </c>
      <c r="B38" s="49"/>
      <c r="C38" s="49"/>
      <c r="D38" s="50">
        <f>SUM(D25:D37)</f>
        <v>2971</v>
      </c>
      <c r="I38" s="47"/>
    </row>
    <row r="39" ht="15.75" customHeight="1">
      <c r="A39" s="48"/>
      <c r="B39" s="15"/>
      <c r="C39" s="15"/>
      <c r="D39" s="50"/>
    </row>
    <row r="40" ht="15.75" customHeight="1">
      <c r="A40" s="48" t="s">
        <v>41</v>
      </c>
      <c r="B40" s="51" t="s">
        <v>15</v>
      </c>
      <c r="C40" s="51" t="s">
        <v>16</v>
      </c>
      <c r="D40" s="51" t="s">
        <v>17</v>
      </c>
    </row>
    <row r="41" ht="15.75" customHeight="1">
      <c r="A41" s="52" t="s">
        <v>42</v>
      </c>
      <c r="B41" s="52"/>
      <c r="C41" s="53"/>
      <c r="D41" s="65">
        <v>5500.0</v>
      </c>
    </row>
    <row r="42" ht="15.75" customHeight="1">
      <c r="A42" s="52"/>
      <c r="B42" s="52"/>
      <c r="C42" s="53"/>
      <c r="D42" s="53"/>
    </row>
    <row r="43" ht="15.75" customHeight="1">
      <c r="A43" s="54" t="s">
        <v>43</v>
      </c>
      <c r="B43" s="15"/>
      <c r="C43" s="15"/>
      <c r="D43" s="55">
        <f>D21-D38-D41</f>
        <v>-161</v>
      </c>
    </row>
    <row r="44" ht="15.75" customHeight="1">
      <c r="A44" s="15"/>
      <c r="B44" s="15"/>
      <c r="C44" s="15"/>
      <c r="D44" s="49"/>
      <c r="I44" s="46"/>
    </row>
    <row r="45" ht="15.75" customHeight="1"/>
    <row r="46" ht="15.75" customHeight="1">
      <c r="A46" s="66" t="s">
        <v>55</v>
      </c>
      <c r="D46" s="67">
        <v>5250.0</v>
      </c>
    </row>
    <row r="47" ht="15.75" customHeight="1">
      <c r="D47" s="68"/>
    </row>
    <row r="48" ht="15.75" customHeight="1">
      <c r="D48" s="68"/>
    </row>
    <row r="49" ht="15.75" customHeight="1">
      <c r="A49" s="66" t="s">
        <v>56</v>
      </c>
      <c r="D49" s="68">
        <v>2094.0</v>
      </c>
    </row>
    <row r="50" ht="15.75" customHeight="1">
      <c r="A50" s="66" t="s">
        <v>57</v>
      </c>
      <c r="D50" s="68">
        <v>2020.0</v>
      </c>
    </row>
    <row r="51" ht="15.75" customHeight="1">
      <c r="A51" s="66" t="s">
        <v>58</v>
      </c>
      <c r="D51" s="69">
        <v>1988.0</v>
      </c>
    </row>
    <row r="52" ht="15.75" customHeight="1">
      <c r="D52" s="70"/>
    </row>
    <row r="53" ht="15.75" customHeight="1">
      <c r="A53" s="66" t="s">
        <v>59</v>
      </c>
      <c r="D53" s="71">
        <f>(D49+D50+D51)/B6</f>
        <v>290.5714286</v>
      </c>
    </row>
    <row r="54" ht="15.75" customHeight="1">
      <c r="A54" s="72" t="s">
        <v>60</v>
      </c>
      <c r="B54" s="72"/>
      <c r="C54" s="72"/>
      <c r="D54" s="79">
        <f>D43+D46-D49-D50-D51-D12-D13</f>
        <v>-1013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26.44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46199.0</v>
      </c>
      <c r="C4" s="13"/>
      <c r="D4" s="14">
        <v>46206.0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25.0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10</v>
      </c>
      <c r="C8" s="9"/>
      <c r="D8" s="10"/>
    </row>
    <row r="9" ht="15.75" customHeight="1">
      <c r="A9" s="17" t="s">
        <v>7</v>
      </c>
      <c r="B9" s="18"/>
      <c r="C9" s="18"/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47</v>
      </c>
      <c r="B12" s="27"/>
      <c r="C12" s="28">
        <v>295.0</v>
      </c>
      <c r="D12" s="29">
        <f t="shared" ref="D12:D13" si="1">B12*C12</f>
        <v>0</v>
      </c>
    </row>
    <row r="13" ht="15.75" customHeight="1">
      <c r="A13" s="26" t="s">
        <v>48</v>
      </c>
      <c r="B13" s="27"/>
      <c r="C13" s="28">
        <v>160.0</v>
      </c>
      <c r="D13" s="29">
        <f t="shared" si="1"/>
        <v>0</v>
      </c>
    </row>
    <row r="14" ht="15.75" customHeight="1">
      <c r="A14" s="26" t="s">
        <v>19</v>
      </c>
      <c r="B14" s="27"/>
      <c r="C14" s="28"/>
      <c r="D14" s="29"/>
    </row>
    <row r="15" ht="15.75" customHeight="1">
      <c r="A15" s="26" t="s">
        <v>20</v>
      </c>
      <c r="B15" s="27">
        <v>25.0</v>
      </c>
      <c r="C15" s="28">
        <v>150.0</v>
      </c>
      <c r="D15" s="29">
        <f t="shared" ref="D15:D17" si="2">B15*C15</f>
        <v>3750</v>
      </c>
    </row>
    <row r="16" ht="15.75" customHeight="1">
      <c r="A16" s="26" t="s">
        <v>21</v>
      </c>
      <c r="B16" s="27"/>
      <c r="C16" s="28"/>
      <c r="D16" s="29">
        <f t="shared" si="2"/>
        <v>0</v>
      </c>
    </row>
    <row r="17" ht="15.75" customHeight="1">
      <c r="A17" s="26"/>
      <c r="B17" s="27"/>
      <c r="C17" s="28"/>
      <c r="D17" s="29">
        <f t="shared" si="2"/>
        <v>0</v>
      </c>
    </row>
    <row r="18" ht="15.75" customHeight="1">
      <c r="A18" s="26"/>
      <c r="B18" s="27"/>
      <c r="C18" s="28"/>
      <c r="D18" s="29"/>
    </row>
    <row r="19" ht="15.75" customHeight="1">
      <c r="A19" s="26"/>
      <c r="B19" s="27"/>
      <c r="C19" s="28"/>
      <c r="D19" s="29"/>
    </row>
    <row r="20" ht="15.75" customHeight="1">
      <c r="A20" s="26"/>
      <c r="B20" s="30"/>
      <c r="C20" s="31"/>
      <c r="D20" s="32"/>
    </row>
    <row r="21" ht="15.75" customHeight="1">
      <c r="A21" s="33" t="s">
        <v>23</v>
      </c>
      <c r="B21" s="34"/>
      <c r="C21" s="34"/>
      <c r="D21" s="35">
        <f>SUM(D12:D20)</f>
        <v>3750</v>
      </c>
    </row>
    <row r="22" ht="15.75" customHeight="1">
      <c r="A22" s="36" t="s">
        <v>24</v>
      </c>
      <c r="B22" s="37"/>
      <c r="C22" s="37"/>
      <c r="D22" s="38">
        <f>D12+D13+D14</f>
        <v>0</v>
      </c>
    </row>
    <row r="23" ht="15.75" customHeight="1">
      <c r="A23" s="39" t="s">
        <v>25</v>
      </c>
      <c r="B23" s="40"/>
      <c r="C23" s="40"/>
      <c r="D23" s="40"/>
    </row>
    <row r="24" ht="15.75" customHeight="1">
      <c r="A24" s="41"/>
      <c r="B24" s="42" t="s">
        <v>15</v>
      </c>
      <c r="C24" s="42" t="s">
        <v>16</v>
      </c>
      <c r="D24" s="42" t="s">
        <v>17</v>
      </c>
    </row>
    <row r="25" ht="15.75" customHeight="1">
      <c r="A25" s="43" t="s">
        <v>29</v>
      </c>
      <c r="B25" s="44"/>
      <c r="C25" s="45"/>
      <c r="D25" s="45"/>
    </row>
    <row r="26" ht="15.75" customHeight="1">
      <c r="A26" s="43" t="s">
        <v>27</v>
      </c>
      <c r="B26" s="44"/>
      <c r="C26" s="45"/>
      <c r="D26" s="45"/>
    </row>
    <row r="27" ht="15.75" customHeight="1">
      <c r="A27" s="43" t="s">
        <v>28</v>
      </c>
      <c r="B27" s="44"/>
      <c r="C27" s="45">
        <v>20.0</v>
      </c>
      <c r="D27" s="45">
        <f>B27*C27</f>
        <v>0</v>
      </c>
    </row>
    <row r="28" ht="15.75" customHeight="1">
      <c r="A28" s="43" t="s">
        <v>30</v>
      </c>
      <c r="B28" s="44"/>
      <c r="C28" s="45"/>
      <c r="D28" s="45"/>
    </row>
    <row r="29" ht="15.75" customHeight="1">
      <c r="A29" s="43" t="s">
        <v>35</v>
      </c>
      <c r="B29" s="44"/>
      <c r="C29" s="45"/>
      <c r="D29" s="45"/>
    </row>
    <row r="30" ht="15.75" customHeight="1">
      <c r="A30" s="43" t="s">
        <v>32</v>
      </c>
      <c r="B30" s="44"/>
      <c r="C30" s="45"/>
      <c r="D30" s="45"/>
    </row>
    <row r="31" ht="15.75" customHeight="1">
      <c r="A31" s="43" t="s">
        <v>33</v>
      </c>
      <c r="B31" s="44"/>
      <c r="C31" s="45"/>
      <c r="D31" s="45">
        <f t="shared" ref="D31:D36" si="3">B31*C31</f>
        <v>0</v>
      </c>
      <c r="I31" s="46"/>
    </row>
    <row r="32" ht="15.75" customHeight="1">
      <c r="A32" s="43" t="s">
        <v>52</v>
      </c>
      <c r="B32" s="44"/>
      <c r="C32" s="45">
        <v>23.0</v>
      </c>
      <c r="D32" s="45">
        <f t="shared" si="3"/>
        <v>0</v>
      </c>
      <c r="I32" s="46"/>
    </row>
    <row r="33" ht="15.75" customHeight="1">
      <c r="A33" s="43" t="s">
        <v>34</v>
      </c>
      <c r="B33" s="44"/>
      <c r="C33" s="45">
        <v>56.0</v>
      </c>
      <c r="D33" s="45">
        <f t="shared" si="3"/>
        <v>0</v>
      </c>
    </row>
    <row r="34" ht="15.75" customHeight="1">
      <c r="A34" s="43" t="s">
        <v>36</v>
      </c>
      <c r="B34" s="44"/>
      <c r="C34" s="45"/>
      <c r="D34" s="45">
        <f t="shared" si="3"/>
        <v>0</v>
      </c>
      <c r="I34" s="47"/>
    </row>
    <row r="35" ht="15.75" customHeight="1">
      <c r="A35" s="43" t="s">
        <v>37</v>
      </c>
      <c r="B35" s="44"/>
      <c r="C35" s="45">
        <v>37.0</v>
      </c>
      <c r="D35" s="45">
        <f t="shared" si="3"/>
        <v>0</v>
      </c>
    </row>
    <row r="36" ht="15.75" customHeight="1">
      <c r="A36" s="43" t="s">
        <v>38</v>
      </c>
      <c r="B36" s="44">
        <v>7.5</v>
      </c>
      <c r="C36" s="45">
        <v>173.35</v>
      </c>
      <c r="D36" s="45">
        <f t="shared" si="3"/>
        <v>1300.125</v>
      </c>
    </row>
    <row r="37" ht="15.75" customHeight="1">
      <c r="A37" s="43" t="s">
        <v>39</v>
      </c>
      <c r="B37" s="44"/>
      <c r="C37" s="45"/>
      <c r="D37" s="45">
        <f>D22*10%</f>
        <v>0</v>
      </c>
    </row>
    <row r="38" ht="15.75" customHeight="1">
      <c r="A38" s="48" t="s">
        <v>40</v>
      </c>
      <c r="B38" s="49"/>
      <c r="C38" s="49"/>
      <c r="D38" s="50">
        <f>SUM(D25:D37)</f>
        <v>1300.125</v>
      </c>
      <c r="I38" s="47"/>
    </row>
    <row r="39" ht="15.75" customHeight="1">
      <c r="A39" s="48"/>
      <c r="B39" s="15"/>
      <c r="C39" s="15"/>
      <c r="D39" s="50"/>
    </row>
    <row r="40" ht="15.75" customHeight="1">
      <c r="A40" s="48" t="s">
        <v>41</v>
      </c>
      <c r="B40" s="51" t="s">
        <v>15</v>
      </c>
      <c r="C40" s="51" t="s">
        <v>16</v>
      </c>
      <c r="D40" s="51" t="s">
        <v>17</v>
      </c>
    </row>
    <row r="41" ht="15.75" customHeight="1">
      <c r="A41" s="52" t="s">
        <v>42</v>
      </c>
      <c r="B41" s="52"/>
      <c r="C41" s="53"/>
      <c r="D41" s="65">
        <v>5300.0</v>
      </c>
    </row>
    <row r="42" ht="15.75" customHeight="1">
      <c r="A42" s="52"/>
      <c r="B42" s="52"/>
      <c r="C42" s="53"/>
      <c r="D42" s="53"/>
    </row>
    <row r="43" ht="15.75" customHeight="1">
      <c r="A43" s="54" t="s">
        <v>43</v>
      </c>
      <c r="B43" s="15"/>
      <c r="C43" s="15"/>
      <c r="D43" s="55">
        <f>D21-D38-D41</f>
        <v>-2850.125</v>
      </c>
    </row>
    <row r="44" ht="15.75" customHeight="1">
      <c r="A44" s="15"/>
      <c r="B44" s="15"/>
      <c r="C44" s="15"/>
      <c r="D44" s="49"/>
      <c r="I44" s="46"/>
    </row>
    <row r="45" ht="15.75" customHeight="1"/>
    <row r="46" ht="15.75" customHeight="1">
      <c r="A46" s="66" t="s">
        <v>55</v>
      </c>
      <c r="D46" s="75">
        <v>5250.0</v>
      </c>
    </row>
    <row r="47" ht="15.75" customHeight="1">
      <c r="D47" s="68"/>
    </row>
    <row r="48" ht="15.75" customHeight="1">
      <c r="D48" s="68"/>
    </row>
    <row r="49" ht="15.75" customHeight="1">
      <c r="A49" s="66" t="s">
        <v>56</v>
      </c>
      <c r="D49" s="76">
        <v>2280.0</v>
      </c>
    </row>
    <row r="50" ht="15.75" customHeight="1">
      <c r="A50" s="77" t="s">
        <v>65</v>
      </c>
      <c r="D50" s="76">
        <v>2176.0</v>
      </c>
    </row>
    <row r="51" ht="15.75" customHeight="1">
      <c r="A51" s="66" t="s">
        <v>58</v>
      </c>
      <c r="D51" s="78">
        <v>2057.0</v>
      </c>
    </row>
    <row r="52" ht="15.75" customHeight="1">
      <c r="D52" s="70"/>
    </row>
    <row r="53" ht="15.75" customHeight="1">
      <c r="A53" s="66" t="s">
        <v>59</v>
      </c>
      <c r="D53" s="71">
        <f>(D49+D50+D51)/B6</f>
        <v>260.52</v>
      </c>
    </row>
    <row r="54" ht="15.75" customHeight="1">
      <c r="A54" s="72" t="s">
        <v>60</v>
      </c>
      <c r="B54" s="72"/>
      <c r="C54" s="72"/>
      <c r="D54" s="73">
        <f>D43+D46-D49-D50-D51-D12-D13</f>
        <v>-4113.125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26.44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46201.0</v>
      </c>
      <c r="C4" s="13"/>
      <c r="D4" s="14">
        <v>46208.0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44.0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6</v>
      </c>
      <c r="C8" s="9"/>
      <c r="D8" s="10"/>
    </row>
    <row r="9" ht="15.75" customHeight="1">
      <c r="A9" s="17" t="s">
        <v>7</v>
      </c>
      <c r="B9" s="18"/>
      <c r="C9" s="18"/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47</v>
      </c>
      <c r="B12" s="27">
        <v>8.0</v>
      </c>
      <c r="C12" s="28">
        <v>295.0</v>
      </c>
      <c r="D12" s="29">
        <f t="shared" ref="D12:D13" si="1">B12*C12</f>
        <v>2360</v>
      </c>
    </row>
    <row r="13" ht="15.75" customHeight="1">
      <c r="A13" s="26" t="s">
        <v>48</v>
      </c>
      <c r="B13" s="27">
        <v>3.0</v>
      </c>
      <c r="C13" s="28">
        <v>160.0</v>
      </c>
      <c r="D13" s="29">
        <f t="shared" si="1"/>
        <v>480</v>
      </c>
    </row>
    <row r="14" ht="15.75" customHeight="1">
      <c r="A14" s="26" t="s">
        <v>19</v>
      </c>
      <c r="B14" s="27"/>
      <c r="C14" s="28"/>
      <c r="D14" s="29">
        <v>9050.0</v>
      </c>
    </row>
    <row r="15" ht="15.75" customHeight="1">
      <c r="A15" s="26" t="s">
        <v>20</v>
      </c>
      <c r="B15" s="27">
        <v>40.0</v>
      </c>
      <c r="C15" s="28">
        <v>150.0</v>
      </c>
      <c r="D15" s="29">
        <f t="shared" ref="D15:D17" si="2">B15*C15</f>
        <v>6000</v>
      </c>
    </row>
    <row r="16" ht="15.75" customHeight="1">
      <c r="A16" s="26" t="s">
        <v>21</v>
      </c>
      <c r="B16" s="27">
        <v>4.0</v>
      </c>
      <c r="C16" s="28">
        <v>75.0</v>
      </c>
      <c r="D16" s="29">
        <f t="shared" si="2"/>
        <v>300</v>
      </c>
    </row>
    <row r="17" ht="15.75" customHeight="1">
      <c r="A17" s="26"/>
      <c r="B17" s="27"/>
      <c r="C17" s="28"/>
      <c r="D17" s="29">
        <f t="shared" si="2"/>
        <v>0</v>
      </c>
    </row>
    <row r="18" ht="15.75" customHeight="1">
      <c r="A18" s="26"/>
      <c r="B18" s="27"/>
      <c r="C18" s="28"/>
      <c r="D18" s="29"/>
    </row>
    <row r="19" ht="15.75" customHeight="1">
      <c r="A19" s="26"/>
      <c r="B19" s="27"/>
      <c r="C19" s="28"/>
      <c r="D19" s="29"/>
    </row>
    <row r="20" ht="15.75" customHeight="1">
      <c r="A20" s="26"/>
      <c r="B20" s="30"/>
      <c r="C20" s="31"/>
      <c r="D20" s="32"/>
    </row>
    <row r="21" ht="15.75" customHeight="1">
      <c r="A21" s="33" t="s">
        <v>23</v>
      </c>
      <c r="B21" s="34"/>
      <c r="C21" s="34"/>
      <c r="D21" s="35">
        <f>SUM(D12:D20)</f>
        <v>18190</v>
      </c>
    </row>
    <row r="22" ht="15.75" customHeight="1">
      <c r="A22" s="36" t="s">
        <v>24</v>
      </c>
      <c r="B22" s="37"/>
      <c r="C22" s="37"/>
      <c r="D22" s="38">
        <f>D12+D13+D14</f>
        <v>11890</v>
      </c>
    </row>
    <row r="23" ht="15.75" customHeight="1">
      <c r="A23" s="39" t="s">
        <v>25</v>
      </c>
      <c r="B23" s="40"/>
      <c r="C23" s="40"/>
      <c r="D23" s="40"/>
    </row>
    <row r="24" ht="15.75" customHeight="1">
      <c r="A24" s="41"/>
      <c r="B24" s="42" t="s">
        <v>15</v>
      </c>
      <c r="C24" s="42" t="s">
        <v>16</v>
      </c>
      <c r="D24" s="42" t="s">
        <v>17</v>
      </c>
    </row>
    <row r="25" ht="15.75" customHeight="1">
      <c r="A25" s="43" t="s">
        <v>29</v>
      </c>
      <c r="B25" s="44"/>
      <c r="C25" s="45"/>
      <c r="D25" s="45">
        <v>466.0</v>
      </c>
    </row>
    <row r="26" ht="15.75" customHeight="1">
      <c r="A26" s="43" t="s">
        <v>27</v>
      </c>
      <c r="B26" s="44"/>
      <c r="C26" s="45"/>
      <c r="D26" s="45">
        <v>380.0</v>
      </c>
    </row>
    <row r="27" ht="15.75" customHeight="1">
      <c r="A27" s="43" t="s">
        <v>28</v>
      </c>
      <c r="B27" s="44">
        <v>23.0</v>
      </c>
      <c r="C27" s="45">
        <v>20.0</v>
      </c>
      <c r="D27" s="45">
        <f>B27*C27</f>
        <v>460</v>
      </c>
    </row>
    <row r="28" ht="15.75" customHeight="1">
      <c r="A28" s="43" t="s">
        <v>30</v>
      </c>
      <c r="B28" s="44"/>
      <c r="C28" s="45"/>
      <c r="D28" s="45"/>
    </row>
    <row r="29" ht="15.75" customHeight="1">
      <c r="A29" s="43" t="s">
        <v>35</v>
      </c>
      <c r="B29" s="44"/>
      <c r="C29" s="45"/>
      <c r="D29" s="45"/>
    </row>
    <row r="30" ht="15.75" customHeight="1">
      <c r="A30" s="43" t="s">
        <v>32</v>
      </c>
      <c r="B30" s="44"/>
      <c r="C30" s="45"/>
      <c r="D30" s="45">
        <v>300.0</v>
      </c>
    </row>
    <row r="31" ht="15.75" customHeight="1">
      <c r="A31" s="43" t="s">
        <v>33</v>
      </c>
      <c r="B31" s="44"/>
      <c r="C31" s="45"/>
      <c r="D31" s="45">
        <f t="shared" ref="D31:D36" si="3">B31*C31</f>
        <v>0</v>
      </c>
      <c r="I31" s="46"/>
    </row>
    <row r="32" ht="15.75" customHeight="1">
      <c r="A32" s="43" t="s">
        <v>52</v>
      </c>
      <c r="B32" s="44">
        <v>11.5</v>
      </c>
      <c r="C32" s="45">
        <v>23.0</v>
      </c>
      <c r="D32" s="45">
        <f t="shared" si="3"/>
        <v>264.5</v>
      </c>
      <c r="I32" s="46"/>
    </row>
    <row r="33" ht="15.75" customHeight="1">
      <c r="A33" s="43" t="s">
        <v>34</v>
      </c>
      <c r="B33" s="44"/>
      <c r="C33" s="45">
        <v>56.0</v>
      </c>
      <c r="D33" s="45">
        <f t="shared" si="3"/>
        <v>0</v>
      </c>
    </row>
    <row r="34" ht="15.75" customHeight="1">
      <c r="A34" s="43" t="s">
        <v>36</v>
      </c>
      <c r="B34" s="44">
        <v>19.0</v>
      </c>
      <c r="C34" s="45">
        <v>33.0</v>
      </c>
      <c r="D34" s="45">
        <f t="shared" si="3"/>
        <v>627</v>
      </c>
      <c r="I34" s="47"/>
    </row>
    <row r="35" ht="15.75" customHeight="1">
      <c r="A35" s="43" t="s">
        <v>37</v>
      </c>
      <c r="B35" s="44">
        <v>23.0</v>
      </c>
      <c r="C35" s="45">
        <v>37.0</v>
      </c>
      <c r="D35" s="45">
        <f t="shared" si="3"/>
        <v>851</v>
      </c>
    </row>
    <row r="36" ht="15.75" customHeight="1">
      <c r="A36" s="43" t="s">
        <v>38</v>
      </c>
      <c r="B36" s="44">
        <v>7.5</v>
      </c>
      <c r="C36" s="45">
        <v>200.0</v>
      </c>
      <c r="D36" s="45">
        <f t="shared" si="3"/>
        <v>1500</v>
      </c>
    </row>
    <row r="37" ht="15.75" customHeight="1">
      <c r="A37" s="43" t="s">
        <v>39</v>
      </c>
      <c r="B37" s="44" t="s">
        <v>61</v>
      </c>
      <c r="C37" s="45"/>
      <c r="D37" s="45">
        <f>D22*10%</f>
        <v>1189</v>
      </c>
    </row>
    <row r="38" ht="15.75" customHeight="1">
      <c r="A38" s="48" t="s">
        <v>40</v>
      </c>
      <c r="B38" s="49"/>
      <c r="C38" s="49"/>
      <c r="D38" s="50">
        <f>SUM(D25:D37)</f>
        <v>6037.5</v>
      </c>
      <c r="I38" s="47"/>
    </row>
    <row r="39" ht="15.75" customHeight="1">
      <c r="A39" s="48"/>
      <c r="B39" s="15"/>
      <c r="C39" s="15"/>
      <c r="D39" s="50"/>
    </row>
    <row r="40" ht="15.75" customHeight="1">
      <c r="A40" s="48" t="s">
        <v>41</v>
      </c>
      <c r="B40" s="51" t="s">
        <v>15</v>
      </c>
      <c r="C40" s="51" t="s">
        <v>16</v>
      </c>
      <c r="D40" s="51" t="s">
        <v>17</v>
      </c>
    </row>
    <row r="41" ht="15.75" customHeight="1">
      <c r="A41" s="52" t="s">
        <v>42</v>
      </c>
      <c r="B41" s="52"/>
      <c r="C41" s="53"/>
      <c r="D41" s="65">
        <v>5500.0</v>
      </c>
    </row>
    <row r="42" ht="15.75" customHeight="1">
      <c r="A42" s="52"/>
      <c r="B42" s="52"/>
      <c r="C42" s="53"/>
      <c r="D42" s="53"/>
    </row>
    <row r="43" ht="15.75" customHeight="1">
      <c r="A43" s="54" t="s">
        <v>43</v>
      </c>
      <c r="B43" s="15"/>
      <c r="C43" s="15"/>
      <c r="D43" s="55">
        <f>D21-D38-D41</f>
        <v>6652.5</v>
      </c>
    </row>
    <row r="44" ht="15.75" customHeight="1">
      <c r="A44" s="15"/>
      <c r="B44" s="15"/>
      <c r="C44" s="15"/>
      <c r="D44" s="49"/>
      <c r="I44" s="46"/>
    </row>
    <row r="45" ht="15.75" customHeight="1"/>
    <row r="46" ht="15.75" customHeight="1">
      <c r="A46" s="66" t="s">
        <v>55</v>
      </c>
      <c r="D46" s="75">
        <v>8560.0</v>
      </c>
    </row>
    <row r="47" ht="15.75" customHeight="1">
      <c r="D47" s="68"/>
    </row>
    <row r="48" ht="15.75" customHeight="1">
      <c r="D48" s="68"/>
    </row>
    <row r="49" ht="15.75" customHeight="1">
      <c r="A49" s="66" t="s">
        <v>56</v>
      </c>
      <c r="D49" s="76">
        <v>4062.0</v>
      </c>
    </row>
    <row r="50" ht="15.75" customHeight="1">
      <c r="A50" s="77" t="s">
        <v>66</v>
      </c>
      <c r="D50" s="76">
        <v>3470.0</v>
      </c>
    </row>
    <row r="51" ht="15.75" customHeight="1">
      <c r="A51" s="66" t="s">
        <v>58</v>
      </c>
      <c r="D51" s="78">
        <v>3464.0</v>
      </c>
    </row>
    <row r="52" ht="15.75" customHeight="1">
      <c r="D52" s="70"/>
    </row>
    <row r="53" ht="15.75" customHeight="1">
      <c r="A53" s="66" t="s">
        <v>59</v>
      </c>
      <c r="D53" s="71">
        <f>(D49+D50+D51)/B6</f>
        <v>249.9090909</v>
      </c>
    </row>
    <row r="54" ht="15.75" customHeight="1">
      <c r="A54" s="72" t="s">
        <v>60</v>
      </c>
      <c r="B54" s="72"/>
      <c r="C54" s="72"/>
      <c r="D54" s="80">
        <f>D43+D46-D49-D50-D51-D12-D13</f>
        <v>1376.5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26.44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46206.0</v>
      </c>
      <c r="C4" s="13"/>
      <c r="D4" s="14">
        <v>46213.0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34.0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10</v>
      </c>
      <c r="C8" s="9"/>
      <c r="D8" s="10"/>
    </row>
    <row r="9" ht="15.75" customHeight="1">
      <c r="A9" s="17" t="s">
        <v>7</v>
      </c>
      <c r="B9" s="18"/>
      <c r="C9" s="18"/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47</v>
      </c>
      <c r="B12" s="27">
        <v>14.0</v>
      </c>
      <c r="C12" s="28">
        <v>295.0</v>
      </c>
      <c r="D12" s="29">
        <f t="shared" ref="D12:D13" si="1">B12*C12</f>
        <v>4130</v>
      </c>
    </row>
    <row r="13" ht="15.75" customHeight="1">
      <c r="A13" s="26" t="s">
        <v>48</v>
      </c>
      <c r="B13" s="27">
        <v>1.0</v>
      </c>
      <c r="C13" s="28">
        <v>160.0</v>
      </c>
      <c r="D13" s="29">
        <f t="shared" si="1"/>
        <v>160</v>
      </c>
    </row>
    <row r="14" ht="15.75" customHeight="1">
      <c r="A14" s="26" t="s">
        <v>19</v>
      </c>
      <c r="B14" s="27"/>
      <c r="C14" s="28"/>
      <c r="D14" s="29"/>
    </row>
    <row r="15" ht="15.75" customHeight="1">
      <c r="A15" s="26" t="s">
        <v>20</v>
      </c>
      <c r="B15" s="27">
        <v>34.0</v>
      </c>
      <c r="C15" s="28">
        <v>150.0</v>
      </c>
      <c r="D15" s="29">
        <f t="shared" ref="D15:D17" si="2">B15*C15</f>
        <v>5100</v>
      </c>
    </row>
    <row r="16" ht="15.75" customHeight="1">
      <c r="A16" s="26" t="s">
        <v>21</v>
      </c>
      <c r="B16" s="27"/>
      <c r="C16" s="28"/>
      <c r="D16" s="29">
        <f t="shared" si="2"/>
        <v>0</v>
      </c>
    </row>
    <row r="17" ht="15.75" customHeight="1">
      <c r="A17" s="26"/>
      <c r="B17" s="27"/>
      <c r="C17" s="28"/>
      <c r="D17" s="29">
        <f t="shared" si="2"/>
        <v>0</v>
      </c>
    </row>
    <row r="18" ht="15.75" customHeight="1">
      <c r="A18" s="26"/>
      <c r="B18" s="27"/>
      <c r="C18" s="28"/>
      <c r="D18" s="29"/>
    </row>
    <row r="19" ht="15.75" customHeight="1">
      <c r="A19" s="26"/>
      <c r="B19" s="27"/>
      <c r="C19" s="28"/>
      <c r="D19" s="29"/>
    </row>
    <row r="20" ht="15.75" customHeight="1">
      <c r="A20" s="26"/>
      <c r="B20" s="30"/>
      <c r="C20" s="31"/>
      <c r="D20" s="32"/>
    </row>
    <row r="21" ht="15.75" customHeight="1">
      <c r="A21" s="33" t="s">
        <v>23</v>
      </c>
      <c r="B21" s="34"/>
      <c r="C21" s="34"/>
      <c r="D21" s="35">
        <f>SUM(D12:D20)</f>
        <v>9390</v>
      </c>
    </row>
    <row r="22" ht="15.75" customHeight="1">
      <c r="A22" s="36" t="s">
        <v>24</v>
      </c>
      <c r="B22" s="37"/>
      <c r="C22" s="37"/>
      <c r="D22" s="38">
        <f>D12+D13+D14</f>
        <v>4290</v>
      </c>
    </row>
    <row r="23" ht="15.75" customHeight="1">
      <c r="A23" s="39" t="s">
        <v>25</v>
      </c>
      <c r="B23" s="40"/>
      <c r="C23" s="40"/>
      <c r="D23" s="40"/>
    </row>
    <row r="24" ht="15.75" customHeight="1">
      <c r="A24" s="41"/>
      <c r="B24" s="42" t="s">
        <v>15</v>
      </c>
      <c r="C24" s="42" t="s">
        <v>16</v>
      </c>
      <c r="D24" s="42" t="s">
        <v>17</v>
      </c>
    </row>
    <row r="25" ht="15.75" customHeight="1">
      <c r="A25" s="43" t="s">
        <v>29</v>
      </c>
      <c r="B25" s="44"/>
      <c r="C25" s="45"/>
      <c r="D25" s="45"/>
    </row>
    <row r="26" ht="15.75" customHeight="1">
      <c r="A26" s="43" t="s">
        <v>27</v>
      </c>
      <c r="B26" s="44"/>
      <c r="C26" s="45"/>
      <c r="D26" s="45"/>
    </row>
    <row r="27" ht="15.75" customHeight="1">
      <c r="A27" s="43" t="s">
        <v>28</v>
      </c>
      <c r="B27" s="44"/>
      <c r="C27" s="45">
        <v>20.0</v>
      </c>
      <c r="D27" s="45">
        <f>B27*C27</f>
        <v>0</v>
      </c>
    </row>
    <row r="28" ht="15.75" customHeight="1">
      <c r="A28" s="43" t="s">
        <v>30</v>
      </c>
      <c r="B28" s="44"/>
      <c r="C28" s="45"/>
      <c r="D28" s="45"/>
    </row>
    <row r="29" ht="15.75" customHeight="1">
      <c r="A29" s="43" t="s">
        <v>35</v>
      </c>
      <c r="B29" s="44"/>
      <c r="C29" s="45"/>
      <c r="D29" s="45"/>
    </row>
    <row r="30" ht="15.75" customHeight="1">
      <c r="A30" s="43" t="s">
        <v>32</v>
      </c>
      <c r="B30" s="44"/>
      <c r="C30" s="45"/>
      <c r="D30" s="45"/>
    </row>
    <row r="31" ht="15.75" customHeight="1">
      <c r="A31" s="43" t="s">
        <v>33</v>
      </c>
      <c r="B31" s="44"/>
      <c r="C31" s="45"/>
      <c r="D31" s="45">
        <f t="shared" ref="D31:D36" si="3">B31*C31</f>
        <v>0</v>
      </c>
      <c r="I31" s="46"/>
    </row>
    <row r="32" ht="15.75" customHeight="1">
      <c r="A32" s="43" t="s">
        <v>52</v>
      </c>
      <c r="B32" s="44"/>
      <c r="C32" s="45">
        <v>23.0</v>
      </c>
      <c r="D32" s="45">
        <f t="shared" si="3"/>
        <v>0</v>
      </c>
      <c r="I32" s="46"/>
    </row>
    <row r="33" ht="15.75" customHeight="1">
      <c r="A33" s="43" t="s">
        <v>34</v>
      </c>
      <c r="B33" s="44"/>
      <c r="C33" s="45">
        <v>56.0</v>
      </c>
      <c r="D33" s="45">
        <f t="shared" si="3"/>
        <v>0</v>
      </c>
    </row>
    <row r="34" ht="15.75" customHeight="1">
      <c r="A34" s="43" t="s">
        <v>36</v>
      </c>
      <c r="B34" s="44"/>
      <c r="C34" s="45"/>
      <c r="D34" s="45">
        <f t="shared" si="3"/>
        <v>0</v>
      </c>
      <c r="I34" s="47"/>
    </row>
    <row r="35" ht="15.75" customHeight="1">
      <c r="A35" s="43" t="s">
        <v>37</v>
      </c>
      <c r="B35" s="44"/>
      <c r="C35" s="45">
        <v>37.0</v>
      </c>
      <c r="D35" s="45">
        <f t="shared" si="3"/>
        <v>0</v>
      </c>
    </row>
    <row r="36" ht="15.75" customHeight="1">
      <c r="A36" s="43" t="s">
        <v>38</v>
      </c>
      <c r="B36" s="44">
        <v>7.5</v>
      </c>
      <c r="C36" s="45">
        <v>173.34</v>
      </c>
      <c r="D36" s="45">
        <f t="shared" si="3"/>
        <v>1300.05</v>
      </c>
    </row>
    <row r="37" ht="15.75" customHeight="1">
      <c r="A37" s="43" t="s">
        <v>39</v>
      </c>
      <c r="B37" s="44"/>
      <c r="C37" s="45"/>
      <c r="D37" s="45">
        <f>D22*10%</f>
        <v>429</v>
      </c>
    </row>
    <row r="38" ht="15.75" customHeight="1">
      <c r="A38" s="48" t="s">
        <v>40</v>
      </c>
      <c r="B38" s="49"/>
      <c r="C38" s="49"/>
      <c r="D38" s="50">
        <f>SUM(D25:D37)</f>
        <v>1729.05</v>
      </c>
      <c r="I38" s="47"/>
    </row>
    <row r="39" ht="15.75" customHeight="1">
      <c r="A39" s="48"/>
      <c r="B39" s="15"/>
      <c r="C39" s="15"/>
      <c r="D39" s="50"/>
    </row>
    <row r="40" ht="15.75" customHeight="1">
      <c r="A40" s="48" t="s">
        <v>41</v>
      </c>
      <c r="B40" s="51" t="s">
        <v>15</v>
      </c>
      <c r="C40" s="51" t="s">
        <v>16</v>
      </c>
      <c r="D40" s="51" t="s">
        <v>17</v>
      </c>
    </row>
    <row r="41" ht="15.75" customHeight="1">
      <c r="A41" s="52" t="s">
        <v>42</v>
      </c>
      <c r="B41" s="52"/>
      <c r="C41" s="53"/>
      <c r="D41" s="65">
        <v>5300.0</v>
      </c>
    </row>
    <row r="42" ht="15.75" customHeight="1">
      <c r="A42" s="52"/>
      <c r="B42" s="52"/>
      <c r="C42" s="53"/>
      <c r="D42" s="53"/>
    </row>
    <row r="43" ht="15.75" customHeight="1">
      <c r="A43" s="54" t="s">
        <v>43</v>
      </c>
      <c r="B43" s="15"/>
      <c r="C43" s="15"/>
      <c r="D43" s="55">
        <f>D21-D38-D41</f>
        <v>2360.95</v>
      </c>
    </row>
    <row r="44" ht="15.75" customHeight="1">
      <c r="A44" s="15"/>
      <c r="B44" s="15"/>
      <c r="C44" s="15"/>
      <c r="D44" s="49"/>
      <c r="I44" s="46"/>
    </row>
    <row r="45" ht="15.75" customHeight="1"/>
    <row r="46" ht="15.75" customHeight="1">
      <c r="A46" s="77" t="s">
        <v>69</v>
      </c>
      <c r="D46" s="75">
        <v>9350.0</v>
      </c>
    </row>
    <row r="47" ht="15.75" customHeight="1">
      <c r="D47" s="68"/>
    </row>
    <row r="48" ht="15.75" customHeight="1">
      <c r="D48" s="68"/>
    </row>
    <row r="49" ht="15.75" customHeight="1">
      <c r="A49" s="66" t="s">
        <v>56</v>
      </c>
      <c r="D49" s="76">
        <v>3465.0</v>
      </c>
    </row>
    <row r="50" ht="15.75" customHeight="1">
      <c r="A50" s="77" t="s">
        <v>66</v>
      </c>
      <c r="D50" s="76">
        <v>2970.0</v>
      </c>
    </row>
    <row r="51" ht="15.75" customHeight="1">
      <c r="A51" s="66" t="s">
        <v>58</v>
      </c>
      <c r="D51" s="78">
        <v>2944.0</v>
      </c>
    </row>
    <row r="52" ht="15.75" customHeight="1">
      <c r="D52" s="70"/>
    </row>
    <row r="53" ht="15.75" customHeight="1">
      <c r="A53" s="66" t="s">
        <v>59</v>
      </c>
      <c r="D53" s="71">
        <f>(D49+D50+D51)/B6</f>
        <v>275.8529412</v>
      </c>
    </row>
    <row r="54" ht="15.75" customHeight="1">
      <c r="A54" s="72" t="s">
        <v>60</v>
      </c>
      <c r="B54" s="72"/>
      <c r="C54" s="72"/>
      <c r="D54" s="73">
        <f>D43+D46-D49-D50-D51-D12-D13</f>
        <v>-1958.05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26.44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46208.0</v>
      </c>
      <c r="C4" s="13"/>
      <c r="D4" s="14">
        <v>46210.0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40.0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67</v>
      </c>
      <c r="C8" s="9"/>
      <c r="D8" s="10"/>
    </row>
    <row r="9" ht="15.75" customHeight="1">
      <c r="A9" s="17" t="s">
        <v>7</v>
      </c>
      <c r="B9" s="18"/>
      <c r="C9" s="18"/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47</v>
      </c>
      <c r="B12" s="27"/>
      <c r="C12" s="28"/>
      <c r="D12" s="29">
        <f t="shared" ref="D12:D13" si="1">B12*C12</f>
        <v>0</v>
      </c>
    </row>
    <row r="13" ht="15.75" customHeight="1">
      <c r="A13" s="26" t="s">
        <v>48</v>
      </c>
      <c r="B13" s="27"/>
      <c r="C13" s="28"/>
      <c r="D13" s="29">
        <f t="shared" si="1"/>
        <v>0</v>
      </c>
    </row>
    <row r="14" ht="15.75" customHeight="1">
      <c r="A14" s="26" t="s">
        <v>19</v>
      </c>
      <c r="B14" s="27"/>
      <c r="C14" s="28"/>
      <c r="D14" s="29"/>
    </row>
    <row r="15" ht="15.75" customHeight="1">
      <c r="A15" s="26" t="s">
        <v>20</v>
      </c>
      <c r="B15" s="27"/>
      <c r="C15" s="28"/>
      <c r="D15" s="29">
        <f t="shared" ref="D15:D17" si="2">B15*C15</f>
        <v>0</v>
      </c>
    </row>
    <row r="16" ht="15.75" customHeight="1">
      <c r="A16" s="26" t="s">
        <v>21</v>
      </c>
      <c r="B16" s="27"/>
      <c r="C16" s="28"/>
      <c r="D16" s="29">
        <f t="shared" si="2"/>
        <v>0</v>
      </c>
    </row>
    <row r="17" ht="15.75" customHeight="1">
      <c r="A17" s="26"/>
      <c r="B17" s="27"/>
      <c r="C17" s="28"/>
      <c r="D17" s="29">
        <f t="shared" si="2"/>
        <v>0</v>
      </c>
    </row>
    <row r="18" ht="15.75" customHeight="1">
      <c r="A18" s="26"/>
      <c r="B18" s="27"/>
      <c r="C18" s="28"/>
      <c r="D18" s="29"/>
    </row>
    <row r="19" ht="15.75" customHeight="1">
      <c r="A19" s="26"/>
      <c r="B19" s="27"/>
      <c r="C19" s="28"/>
      <c r="D19" s="29"/>
    </row>
    <row r="20" ht="15.75" customHeight="1">
      <c r="A20" s="26"/>
      <c r="B20" s="30"/>
      <c r="C20" s="31"/>
      <c r="D20" s="32"/>
    </row>
    <row r="21" ht="15.75" customHeight="1">
      <c r="A21" s="33" t="s">
        <v>23</v>
      </c>
      <c r="B21" s="34"/>
      <c r="C21" s="34"/>
      <c r="D21" s="35">
        <f>SUM(D12:D20)</f>
        <v>0</v>
      </c>
    </row>
    <row r="22" ht="15.75" customHeight="1">
      <c r="A22" s="36" t="s">
        <v>24</v>
      </c>
      <c r="B22" s="37"/>
      <c r="C22" s="37"/>
      <c r="D22" s="38">
        <f>D12+D13+D14</f>
        <v>0</v>
      </c>
    </row>
    <row r="23" ht="15.75" customHeight="1">
      <c r="A23" s="39" t="s">
        <v>25</v>
      </c>
      <c r="B23" s="40"/>
      <c r="C23" s="40"/>
      <c r="D23" s="40"/>
    </row>
    <row r="24" ht="15.75" customHeight="1">
      <c r="A24" s="41"/>
      <c r="B24" s="42" t="s">
        <v>15</v>
      </c>
      <c r="C24" s="42" t="s">
        <v>16</v>
      </c>
      <c r="D24" s="42" t="s">
        <v>17</v>
      </c>
    </row>
    <row r="25" ht="15.75" customHeight="1">
      <c r="A25" s="43" t="s">
        <v>68</v>
      </c>
      <c r="B25" s="44"/>
      <c r="C25" s="45"/>
      <c r="D25" s="45">
        <v>92.0</v>
      </c>
    </row>
    <row r="26" ht="15.75" customHeight="1">
      <c r="A26" s="43" t="s">
        <v>27</v>
      </c>
      <c r="B26" s="44"/>
      <c r="C26" s="45"/>
      <c r="D26" s="45"/>
    </row>
    <row r="27" ht="15.75" customHeight="1">
      <c r="A27" s="43" t="s">
        <v>28</v>
      </c>
      <c r="B27" s="44"/>
      <c r="C27" s="45"/>
      <c r="D27" s="45">
        <f>B27*C27</f>
        <v>0</v>
      </c>
    </row>
    <row r="28" ht="15.75" customHeight="1">
      <c r="A28" s="43" t="s">
        <v>30</v>
      </c>
      <c r="B28" s="44"/>
      <c r="C28" s="45"/>
      <c r="D28" s="45"/>
    </row>
    <row r="29" ht="15.75" customHeight="1">
      <c r="A29" s="43" t="s">
        <v>35</v>
      </c>
      <c r="B29" s="44"/>
      <c r="C29" s="45"/>
      <c r="D29" s="45"/>
    </row>
    <row r="30" ht="15.75" customHeight="1">
      <c r="A30" s="43" t="s">
        <v>32</v>
      </c>
      <c r="B30" s="44"/>
      <c r="C30" s="45"/>
      <c r="D30" s="45"/>
    </row>
    <row r="31" ht="15.75" customHeight="1">
      <c r="A31" s="43" t="s">
        <v>33</v>
      </c>
      <c r="B31" s="44"/>
      <c r="C31" s="45"/>
      <c r="D31" s="45">
        <f t="shared" ref="D31:D36" si="3">B31*C31</f>
        <v>0</v>
      </c>
      <c r="I31" s="46"/>
    </row>
    <row r="32" ht="15.75" customHeight="1">
      <c r="A32" s="43" t="s">
        <v>52</v>
      </c>
      <c r="B32" s="44"/>
      <c r="C32" s="45"/>
      <c r="D32" s="45">
        <f t="shared" si="3"/>
        <v>0</v>
      </c>
      <c r="I32" s="46"/>
    </row>
    <row r="33" ht="15.75" customHeight="1">
      <c r="A33" s="43" t="s">
        <v>34</v>
      </c>
      <c r="B33" s="44"/>
      <c r="C33" s="45"/>
      <c r="D33" s="45">
        <f t="shared" si="3"/>
        <v>0</v>
      </c>
    </row>
    <row r="34" ht="15.75" customHeight="1">
      <c r="A34" s="43" t="s">
        <v>36</v>
      </c>
      <c r="B34" s="44"/>
      <c r="C34" s="45"/>
      <c r="D34" s="45">
        <f t="shared" si="3"/>
        <v>0</v>
      </c>
      <c r="I34" s="47"/>
    </row>
    <row r="35" ht="15.75" customHeight="1">
      <c r="A35" s="43" t="s">
        <v>37</v>
      </c>
      <c r="B35" s="44"/>
      <c r="C35" s="45"/>
      <c r="D35" s="45">
        <f t="shared" si="3"/>
        <v>0</v>
      </c>
    </row>
    <row r="36" ht="15.75" customHeight="1">
      <c r="A36" s="43" t="s">
        <v>38</v>
      </c>
      <c r="B36" s="44"/>
      <c r="C36" s="45"/>
      <c r="D36" s="45">
        <f t="shared" si="3"/>
        <v>0</v>
      </c>
    </row>
    <row r="37" ht="15.75" customHeight="1">
      <c r="A37" s="43" t="s">
        <v>39</v>
      </c>
      <c r="B37" s="44"/>
      <c r="C37" s="45"/>
      <c r="D37" s="45">
        <f>D22*10%</f>
        <v>0</v>
      </c>
    </row>
    <row r="38" ht="15.75" customHeight="1">
      <c r="A38" s="48" t="s">
        <v>40</v>
      </c>
      <c r="B38" s="49"/>
      <c r="C38" s="49"/>
      <c r="D38" s="50">
        <f>SUM(D25:D37)</f>
        <v>92</v>
      </c>
      <c r="I38" s="47"/>
    </row>
    <row r="39" ht="15.75" customHeight="1">
      <c r="A39" s="48"/>
      <c r="B39" s="15"/>
      <c r="C39" s="15"/>
      <c r="D39" s="50"/>
    </row>
    <row r="40" ht="15.75" customHeight="1">
      <c r="A40" s="48" t="s">
        <v>41</v>
      </c>
      <c r="B40" s="51" t="s">
        <v>15</v>
      </c>
      <c r="C40" s="51" t="s">
        <v>16</v>
      </c>
      <c r="D40" s="51" t="s">
        <v>17</v>
      </c>
    </row>
    <row r="41" ht="15.75" customHeight="1">
      <c r="A41" s="52" t="s">
        <v>42</v>
      </c>
      <c r="B41" s="52"/>
      <c r="C41" s="53"/>
      <c r="D41" s="65"/>
    </row>
    <row r="42" ht="15.75" customHeight="1">
      <c r="A42" s="52"/>
      <c r="B42" s="52"/>
      <c r="C42" s="53"/>
      <c r="D42" s="53"/>
    </row>
    <row r="43" ht="15.75" customHeight="1">
      <c r="A43" s="54" t="s">
        <v>43</v>
      </c>
      <c r="B43" s="15"/>
      <c r="C43" s="15"/>
      <c r="D43" s="55">
        <f>D21-D38-D41</f>
        <v>-92</v>
      </c>
    </row>
    <row r="44" ht="15.75" customHeight="1">
      <c r="A44" s="15"/>
      <c r="B44" s="15"/>
      <c r="C44" s="15"/>
      <c r="D44" s="49"/>
      <c r="I44" s="46"/>
    </row>
    <row r="45" ht="15.75" customHeight="1"/>
    <row r="46" ht="15.75" customHeight="1">
      <c r="A46" s="77" t="s">
        <v>70</v>
      </c>
      <c r="D46" s="75">
        <v>4962.0</v>
      </c>
    </row>
    <row r="47" ht="15.75" customHeight="1">
      <c r="D47" s="68"/>
    </row>
    <row r="48" ht="15.75" customHeight="1">
      <c r="D48" s="68"/>
    </row>
    <row r="49" ht="15.75" customHeight="1">
      <c r="A49" s="77" t="s">
        <v>71</v>
      </c>
      <c r="D49" s="76">
        <v>1725.0</v>
      </c>
    </row>
    <row r="50" ht="15.75" customHeight="1">
      <c r="A50" s="77" t="s">
        <v>72</v>
      </c>
      <c r="D50" s="76">
        <v>1485.0</v>
      </c>
    </row>
    <row r="51" ht="15.75" customHeight="1">
      <c r="A51" s="66" t="s">
        <v>58</v>
      </c>
      <c r="D51" s="78">
        <v>1770.0</v>
      </c>
    </row>
    <row r="52" ht="15.75" customHeight="1">
      <c r="D52" s="70"/>
    </row>
    <row r="53" ht="15.75" customHeight="1">
      <c r="A53" s="66" t="s">
        <v>59</v>
      </c>
      <c r="D53" s="71">
        <f>(D49+D50+D51)/B6</f>
        <v>124.5</v>
      </c>
    </row>
    <row r="54" ht="15.75" customHeight="1">
      <c r="A54" s="72" t="s">
        <v>60</v>
      </c>
      <c r="B54" s="72"/>
      <c r="C54" s="72"/>
      <c r="D54" s="73">
        <f>D43+D46-D49-D50-D51-D12-D13</f>
        <v>-110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26.44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46208.0</v>
      </c>
      <c r="C4" s="13"/>
      <c r="D4" s="14">
        <v>46215.0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40.0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67</v>
      </c>
      <c r="C8" s="9"/>
      <c r="D8" s="10"/>
    </row>
    <row r="9" ht="15.75" customHeight="1">
      <c r="A9" s="17" t="s">
        <v>7</v>
      </c>
      <c r="B9" s="18"/>
      <c r="C9" s="18"/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47</v>
      </c>
      <c r="B12" s="27"/>
      <c r="C12" s="28"/>
      <c r="D12" s="29">
        <f t="shared" ref="D12:D13" si="1">B12*C12</f>
        <v>0</v>
      </c>
    </row>
    <row r="13" ht="15.75" customHeight="1">
      <c r="A13" s="26" t="s">
        <v>48</v>
      </c>
      <c r="B13" s="27"/>
      <c r="C13" s="28"/>
      <c r="D13" s="29">
        <f t="shared" si="1"/>
        <v>0</v>
      </c>
    </row>
    <row r="14" ht="15.75" customHeight="1">
      <c r="A14" s="26" t="s">
        <v>19</v>
      </c>
      <c r="B14" s="27"/>
      <c r="C14" s="28"/>
      <c r="D14" s="29"/>
    </row>
    <row r="15" ht="15.75" customHeight="1">
      <c r="A15" s="26" t="s">
        <v>20</v>
      </c>
      <c r="B15" s="27"/>
      <c r="C15" s="28"/>
      <c r="D15" s="29">
        <f t="shared" ref="D15:D17" si="2">B15*C15</f>
        <v>0</v>
      </c>
    </row>
    <row r="16" ht="15.75" customHeight="1">
      <c r="A16" s="26" t="s">
        <v>21</v>
      </c>
      <c r="B16" s="27"/>
      <c r="C16" s="28"/>
      <c r="D16" s="29">
        <f t="shared" si="2"/>
        <v>0</v>
      </c>
    </row>
    <row r="17" ht="15.75" customHeight="1">
      <c r="A17" s="26"/>
      <c r="B17" s="27"/>
      <c r="C17" s="28"/>
      <c r="D17" s="29">
        <f t="shared" si="2"/>
        <v>0</v>
      </c>
    </row>
    <row r="18" ht="15.75" customHeight="1">
      <c r="A18" s="26"/>
      <c r="B18" s="27"/>
      <c r="C18" s="28"/>
      <c r="D18" s="29"/>
    </row>
    <row r="19" ht="15.75" customHeight="1">
      <c r="A19" s="26"/>
      <c r="B19" s="27"/>
      <c r="C19" s="28"/>
      <c r="D19" s="29"/>
    </row>
    <row r="20" ht="15.75" customHeight="1">
      <c r="A20" s="26"/>
      <c r="B20" s="30"/>
      <c r="C20" s="31"/>
      <c r="D20" s="32"/>
    </row>
    <row r="21" ht="15.75" customHeight="1">
      <c r="A21" s="33" t="s">
        <v>23</v>
      </c>
      <c r="B21" s="34"/>
      <c r="C21" s="34"/>
      <c r="D21" s="35">
        <f>SUM(D12:D20)</f>
        <v>0</v>
      </c>
    </row>
    <row r="22" ht="15.75" customHeight="1">
      <c r="A22" s="36" t="s">
        <v>24</v>
      </c>
      <c r="B22" s="37"/>
      <c r="C22" s="37"/>
      <c r="D22" s="38">
        <f>D12+D13+D14</f>
        <v>0</v>
      </c>
    </row>
    <row r="23" ht="15.75" customHeight="1">
      <c r="A23" s="39" t="s">
        <v>25</v>
      </c>
      <c r="B23" s="40"/>
      <c r="C23" s="40"/>
      <c r="D23" s="40"/>
    </row>
    <row r="24" ht="15.75" customHeight="1">
      <c r="A24" s="41"/>
      <c r="B24" s="42" t="s">
        <v>15</v>
      </c>
      <c r="C24" s="42" t="s">
        <v>16</v>
      </c>
      <c r="D24" s="42" t="s">
        <v>17</v>
      </c>
    </row>
    <row r="25" ht="15.75" customHeight="1">
      <c r="A25" s="43" t="s">
        <v>68</v>
      </c>
      <c r="B25" s="44"/>
      <c r="C25" s="45"/>
      <c r="D25" s="45"/>
    </row>
    <row r="26" ht="15.75" customHeight="1">
      <c r="A26" s="43" t="s">
        <v>27</v>
      </c>
      <c r="B26" s="44"/>
      <c r="C26" s="45"/>
      <c r="D26" s="45"/>
    </row>
    <row r="27" ht="15.75" customHeight="1">
      <c r="A27" s="43" t="s">
        <v>28</v>
      </c>
      <c r="B27" s="44"/>
      <c r="C27" s="45"/>
      <c r="D27" s="45">
        <f>B27*C27</f>
        <v>0</v>
      </c>
    </row>
    <row r="28" ht="15.75" customHeight="1">
      <c r="A28" s="43" t="s">
        <v>30</v>
      </c>
      <c r="B28" s="44"/>
      <c r="C28" s="45"/>
      <c r="D28" s="45"/>
    </row>
    <row r="29" ht="15.75" customHeight="1">
      <c r="A29" s="43" t="s">
        <v>35</v>
      </c>
      <c r="B29" s="44"/>
      <c r="C29" s="45"/>
      <c r="D29" s="45"/>
    </row>
    <row r="30" ht="15.75" customHeight="1">
      <c r="A30" s="43" t="s">
        <v>32</v>
      </c>
      <c r="B30" s="44"/>
      <c r="C30" s="45"/>
      <c r="D30" s="45"/>
    </row>
    <row r="31" ht="15.75" customHeight="1">
      <c r="A31" s="43" t="s">
        <v>33</v>
      </c>
      <c r="B31" s="44"/>
      <c r="C31" s="45"/>
      <c r="D31" s="45">
        <f t="shared" ref="D31:D36" si="3">B31*C31</f>
        <v>0</v>
      </c>
      <c r="I31" s="46"/>
    </row>
    <row r="32" ht="15.75" customHeight="1">
      <c r="A32" s="43" t="s">
        <v>52</v>
      </c>
      <c r="B32" s="44"/>
      <c r="C32" s="45"/>
      <c r="D32" s="45">
        <f t="shared" si="3"/>
        <v>0</v>
      </c>
      <c r="I32" s="46"/>
    </row>
    <row r="33" ht="15.75" customHeight="1">
      <c r="A33" s="43" t="s">
        <v>34</v>
      </c>
      <c r="B33" s="44"/>
      <c r="C33" s="45"/>
      <c r="D33" s="45">
        <f t="shared" si="3"/>
        <v>0</v>
      </c>
    </row>
    <row r="34" ht="15.75" customHeight="1">
      <c r="A34" s="43" t="s">
        <v>36</v>
      </c>
      <c r="B34" s="44"/>
      <c r="C34" s="45"/>
      <c r="D34" s="45">
        <f t="shared" si="3"/>
        <v>0</v>
      </c>
      <c r="I34" s="47"/>
    </row>
    <row r="35" ht="15.75" customHeight="1">
      <c r="A35" s="43" t="s">
        <v>37</v>
      </c>
      <c r="B35" s="44"/>
      <c r="C35" s="45"/>
      <c r="D35" s="45">
        <f t="shared" si="3"/>
        <v>0</v>
      </c>
    </row>
    <row r="36" ht="15.75" customHeight="1">
      <c r="A36" s="43" t="s">
        <v>38</v>
      </c>
      <c r="B36" s="44"/>
      <c r="C36" s="45"/>
      <c r="D36" s="45">
        <f t="shared" si="3"/>
        <v>0</v>
      </c>
    </row>
    <row r="37" ht="15.75" customHeight="1">
      <c r="A37" s="43" t="s">
        <v>39</v>
      </c>
      <c r="B37" s="44"/>
      <c r="C37" s="45"/>
      <c r="D37" s="45">
        <f>D22*10%</f>
        <v>0</v>
      </c>
    </row>
    <row r="38" ht="15.75" customHeight="1">
      <c r="A38" s="48" t="s">
        <v>40</v>
      </c>
      <c r="B38" s="49"/>
      <c r="C38" s="49"/>
      <c r="D38" s="50">
        <f>SUM(D25:D37)</f>
        <v>0</v>
      </c>
      <c r="I38" s="47"/>
    </row>
    <row r="39" ht="15.75" customHeight="1">
      <c r="A39" s="48"/>
      <c r="B39" s="15"/>
      <c r="C39" s="15"/>
      <c r="D39" s="50"/>
    </row>
    <row r="40" ht="15.75" customHeight="1">
      <c r="A40" s="48" t="s">
        <v>41</v>
      </c>
      <c r="B40" s="51" t="s">
        <v>15</v>
      </c>
      <c r="C40" s="51" t="s">
        <v>16</v>
      </c>
      <c r="D40" s="51" t="s">
        <v>17</v>
      </c>
    </row>
    <row r="41" ht="15.75" customHeight="1">
      <c r="A41" s="52" t="s">
        <v>42</v>
      </c>
      <c r="B41" s="52"/>
      <c r="C41" s="53"/>
      <c r="D41" s="65"/>
    </row>
    <row r="42" ht="15.75" customHeight="1">
      <c r="A42" s="52"/>
      <c r="B42" s="52"/>
      <c r="C42" s="53"/>
      <c r="D42" s="53"/>
    </row>
    <row r="43" ht="15.75" customHeight="1">
      <c r="A43" s="54" t="s">
        <v>43</v>
      </c>
      <c r="B43" s="15"/>
      <c r="C43" s="15"/>
      <c r="D43" s="55">
        <f>D21-D38-D41</f>
        <v>0</v>
      </c>
    </row>
    <row r="44" ht="15.75" customHeight="1">
      <c r="A44" s="15"/>
      <c r="B44" s="15"/>
      <c r="C44" s="15"/>
      <c r="D44" s="49"/>
      <c r="I44" s="46"/>
    </row>
    <row r="45" ht="15.75" customHeight="1"/>
    <row r="46" ht="15.75" customHeight="1">
      <c r="A46" s="77" t="s">
        <v>70</v>
      </c>
      <c r="D46" s="75"/>
    </row>
    <row r="47" ht="15.75" customHeight="1">
      <c r="D47" s="68"/>
    </row>
    <row r="48" ht="15.75" customHeight="1">
      <c r="D48" s="68"/>
    </row>
    <row r="49" ht="15.75" customHeight="1">
      <c r="A49" s="77" t="s">
        <v>71</v>
      </c>
      <c r="D49" s="76"/>
    </row>
    <row r="50" ht="15.75" customHeight="1">
      <c r="A50" s="77" t="s">
        <v>72</v>
      </c>
      <c r="D50" s="76"/>
    </row>
    <row r="51" ht="15.75" customHeight="1">
      <c r="A51" s="66" t="s">
        <v>58</v>
      </c>
      <c r="D51" s="78"/>
    </row>
    <row r="52" ht="15.75" customHeight="1">
      <c r="D52" s="70"/>
    </row>
    <row r="53" ht="15.75" customHeight="1">
      <c r="A53" s="66" t="s">
        <v>59</v>
      </c>
      <c r="D53" s="71">
        <f>(D49+D50+D51)/B6</f>
        <v>0</v>
      </c>
    </row>
    <row r="54" ht="15.75" customHeight="1">
      <c r="A54" s="72" t="s">
        <v>60</v>
      </c>
      <c r="B54" s="72"/>
      <c r="C54" s="72"/>
      <c r="D54" s="73">
        <f>D43+D46-D49-D50-D51-D12-D13</f>
        <v>0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26.44"/>
    <col customWidth="1" min="5" max="9" width="10.56"/>
  </cols>
  <sheetData>
    <row r="1" ht="45.0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46213.0</v>
      </c>
      <c r="C4" s="13"/>
      <c r="D4" s="14">
        <v>46220.0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40.0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67</v>
      </c>
      <c r="C8" s="9"/>
      <c r="D8" s="10"/>
    </row>
    <row r="9" ht="15.75" customHeight="1">
      <c r="A9" s="17" t="s">
        <v>7</v>
      </c>
      <c r="B9" s="18"/>
      <c r="C9" s="18"/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47</v>
      </c>
      <c r="B12" s="27"/>
      <c r="C12" s="28"/>
      <c r="D12" s="29">
        <f t="shared" ref="D12:D13" si="1">B12*C12</f>
        <v>0</v>
      </c>
    </row>
    <row r="13" ht="15.75" customHeight="1">
      <c r="A13" s="26" t="s">
        <v>48</v>
      </c>
      <c r="B13" s="27"/>
      <c r="C13" s="28"/>
      <c r="D13" s="29">
        <f t="shared" si="1"/>
        <v>0</v>
      </c>
    </row>
    <row r="14" ht="15.75" customHeight="1">
      <c r="A14" s="26" t="s">
        <v>19</v>
      </c>
      <c r="B14" s="27"/>
      <c r="C14" s="28"/>
      <c r="D14" s="29"/>
    </row>
    <row r="15" ht="15.75" customHeight="1">
      <c r="A15" s="26" t="s">
        <v>20</v>
      </c>
      <c r="B15" s="27"/>
      <c r="C15" s="28"/>
      <c r="D15" s="29">
        <f t="shared" ref="D15:D17" si="2">B15*C15</f>
        <v>0</v>
      </c>
    </row>
    <row r="16" ht="15.75" customHeight="1">
      <c r="A16" s="26" t="s">
        <v>21</v>
      </c>
      <c r="B16" s="27"/>
      <c r="C16" s="28"/>
      <c r="D16" s="29">
        <f t="shared" si="2"/>
        <v>0</v>
      </c>
    </row>
    <row r="17" ht="15.75" customHeight="1">
      <c r="A17" s="26"/>
      <c r="B17" s="27"/>
      <c r="C17" s="28"/>
      <c r="D17" s="29">
        <f t="shared" si="2"/>
        <v>0</v>
      </c>
    </row>
    <row r="18" ht="15.75" customHeight="1">
      <c r="A18" s="26"/>
      <c r="B18" s="27"/>
      <c r="C18" s="28"/>
      <c r="D18" s="29"/>
    </row>
    <row r="19" ht="15.75" customHeight="1">
      <c r="A19" s="26"/>
      <c r="B19" s="27"/>
      <c r="C19" s="28"/>
      <c r="D19" s="29"/>
    </row>
    <row r="20" ht="15.75" customHeight="1">
      <c r="A20" s="26"/>
      <c r="B20" s="30"/>
      <c r="C20" s="31"/>
      <c r="D20" s="32"/>
    </row>
    <row r="21" ht="15.75" customHeight="1">
      <c r="A21" s="33" t="s">
        <v>23</v>
      </c>
      <c r="B21" s="34"/>
      <c r="C21" s="34"/>
      <c r="D21" s="35">
        <f>SUM(D12:D20)</f>
        <v>0</v>
      </c>
    </row>
    <row r="22" ht="15.75" customHeight="1">
      <c r="A22" s="36" t="s">
        <v>24</v>
      </c>
      <c r="B22" s="37"/>
      <c r="C22" s="37"/>
      <c r="D22" s="38">
        <f>D12+D13+D14</f>
        <v>0</v>
      </c>
    </row>
    <row r="23" ht="15.75" customHeight="1">
      <c r="A23" s="39" t="s">
        <v>25</v>
      </c>
      <c r="B23" s="40"/>
      <c r="C23" s="40"/>
      <c r="D23" s="40"/>
    </row>
    <row r="24" ht="15.75" customHeight="1">
      <c r="A24" s="41"/>
      <c r="B24" s="42" t="s">
        <v>15</v>
      </c>
      <c r="C24" s="42" t="s">
        <v>16</v>
      </c>
      <c r="D24" s="42" t="s">
        <v>17</v>
      </c>
    </row>
    <row r="25" ht="15.75" customHeight="1">
      <c r="A25" s="43" t="s">
        <v>68</v>
      </c>
      <c r="B25" s="44"/>
      <c r="C25" s="45"/>
      <c r="D25" s="45"/>
    </row>
    <row r="26" ht="15.75" customHeight="1">
      <c r="A26" s="43" t="s">
        <v>27</v>
      </c>
      <c r="B26" s="44"/>
      <c r="C26" s="45"/>
      <c r="D26" s="45"/>
    </row>
    <row r="27" ht="15.75" customHeight="1">
      <c r="A27" s="43" t="s">
        <v>28</v>
      </c>
      <c r="B27" s="44"/>
      <c r="C27" s="45"/>
      <c r="D27" s="45">
        <f>B27*C27</f>
        <v>0</v>
      </c>
    </row>
    <row r="28" ht="15.75" customHeight="1">
      <c r="A28" s="43" t="s">
        <v>30</v>
      </c>
      <c r="B28" s="44"/>
      <c r="C28" s="45"/>
      <c r="D28" s="45"/>
    </row>
    <row r="29" ht="15.75" customHeight="1">
      <c r="A29" s="43" t="s">
        <v>35</v>
      </c>
      <c r="B29" s="44"/>
      <c r="C29" s="45"/>
      <c r="D29" s="45"/>
    </row>
    <row r="30" ht="15.75" customHeight="1">
      <c r="A30" s="43" t="s">
        <v>32</v>
      </c>
      <c r="B30" s="44"/>
      <c r="C30" s="45"/>
      <c r="D30" s="45"/>
    </row>
    <row r="31" ht="15.75" customHeight="1">
      <c r="A31" s="43" t="s">
        <v>33</v>
      </c>
      <c r="B31" s="44"/>
      <c r="C31" s="45"/>
      <c r="D31" s="45">
        <f t="shared" ref="D31:D36" si="3">B31*C31</f>
        <v>0</v>
      </c>
      <c r="I31" s="46"/>
    </row>
    <row r="32" ht="15.75" customHeight="1">
      <c r="A32" s="43" t="s">
        <v>52</v>
      </c>
      <c r="B32" s="44"/>
      <c r="C32" s="45"/>
      <c r="D32" s="45">
        <f t="shared" si="3"/>
        <v>0</v>
      </c>
      <c r="I32" s="46"/>
    </row>
    <row r="33" ht="15.75" customHeight="1">
      <c r="A33" s="43" t="s">
        <v>34</v>
      </c>
      <c r="B33" s="44"/>
      <c r="C33" s="45"/>
      <c r="D33" s="45">
        <f t="shared" si="3"/>
        <v>0</v>
      </c>
    </row>
    <row r="34" ht="15.75" customHeight="1">
      <c r="A34" s="43" t="s">
        <v>36</v>
      </c>
      <c r="B34" s="44"/>
      <c r="C34" s="45"/>
      <c r="D34" s="45">
        <f t="shared" si="3"/>
        <v>0</v>
      </c>
      <c r="I34" s="47"/>
    </row>
    <row r="35" ht="15.75" customHeight="1">
      <c r="A35" s="43" t="s">
        <v>37</v>
      </c>
      <c r="B35" s="44"/>
      <c r="C35" s="45"/>
      <c r="D35" s="45">
        <f t="shared" si="3"/>
        <v>0</v>
      </c>
    </row>
    <row r="36" ht="15.75" customHeight="1">
      <c r="A36" s="43" t="s">
        <v>38</v>
      </c>
      <c r="B36" s="44"/>
      <c r="C36" s="45"/>
      <c r="D36" s="45">
        <f t="shared" si="3"/>
        <v>0</v>
      </c>
    </row>
    <row r="37" ht="15.75" customHeight="1">
      <c r="A37" s="43" t="s">
        <v>39</v>
      </c>
      <c r="B37" s="44"/>
      <c r="C37" s="45"/>
      <c r="D37" s="45">
        <f>D22*10%</f>
        <v>0</v>
      </c>
    </row>
    <row r="38" ht="15.75" customHeight="1">
      <c r="A38" s="48" t="s">
        <v>40</v>
      </c>
      <c r="B38" s="49"/>
      <c r="C38" s="49"/>
      <c r="D38" s="50">
        <f>SUM(D25:D37)</f>
        <v>0</v>
      </c>
      <c r="I38" s="47"/>
    </row>
    <row r="39" ht="15.75" customHeight="1">
      <c r="A39" s="48"/>
      <c r="B39" s="15"/>
      <c r="C39" s="15"/>
      <c r="D39" s="50"/>
    </row>
    <row r="40" ht="15.75" customHeight="1">
      <c r="A40" s="48" t="s">
        <v>41</v>
      </c>
      <c r="B40" s="51" t="s">
        <v>15</v>
      </c>
      <c r="C40" s="51" t="s">
        <v>16</v>
      </c>
      <c r="D40" s="51" t="s">
        <v>17</v>
      </c>
    </row>
    <row r="41" ht="15.75" customHeight="1">
      <c r="A41" s="52" t="s">
        <v>42</v>
      </c>
      <c r="B41" s="52"/>
      <c r="C41" s="53"/>
      <c r="D41" s="65"/>
    </row>
    <row r="42" ht="15.75" customHeight="1">
      <c r="A42" s="52"/>
      <c r="B42" s="52"/>
      <c r="C42" s="53"/>
      <c r="D42" s="53"/>
    </row>
    <row r="43" ht="15.75" customHeight="1">
      <c r="A43" s="54" t="s">
        <v>43</v>
      </c>
      <c r="B43" s="15"/>
      <c r="C43" s="15"/>
      <c r="D43" s="55">
        <f>D21-D38-D41</f>
        <v>0</v>
      </c>
    </row>
    <row r="44" ht="15.75" customHeight="1">
      <c r="A44" s="15"/>
      <c r="B44" s="15"/>
      <c r="C44" s="15"/>
      <c r="D44" s="49"/>
      <c r="I44" s="46"/>
    </row>
    <row r="45" ht="15.75" customHeight="1"/>
    <row r="46" ht="15.75" customHeight="1">
      <c r="A46" s="77" t="s">
        <v>70</v>
      </c>
      <c r="D46" s="75"/>
    </row>
    <row r="47" ht="15.75" customHeight="1">
      <c r="D47" s="68"/>
    </row>
    <row r="48" ht="15.75" customHeight="1">
      <c r="D48" s="68"/>
    </row>
    <row r="49" ht="15.75" customHeight="1">
      <c r="A49" s="77" t="s">
        <v>71</v>
      </c>
      <c r="D49" s="76"/>
    </row>
    <row r="50" ht="15.75" customHeight="1">
      <c r="A50" s="77" t="s">
        <v>72</v>
      </c>
      <c r="D50" s="76"/>
    </row>
    <row r="51" ht="15.75" customHeight="1">
      <c r="A51" s="66" t="s">
        <v>58</v>
      </c>
      <c r="D51" s="78"/>
    </row>
    <row r="52" ht="15.75" customHeight="1">
      <c r="D52" s="70"/>
    </row>
    <row r="53" ht="15.75" customHeight="1">
      <c r="A53" s="66" t="s">
        <v>59</v>
      </c>
      <c r="D53" s="71">
        <f>(D49+D50+D51)/B6</f>
        <v>0</v>
      </c>
    </row>
    <row r="54" ht="15.75" customHeight="1">
      <c r="A54" s="72" t="s">
        <v>60</v>
      </c>
      <c r="B54" s="72"/>
      <c r="C54" s="72"/>
      <c r="D54" s="73">
        <f>D43+D46-D49-D50-D51-D12-D13</f>
        <v>0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26.44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46215.0</v>
      </c>
      <c r="C4" s="13"/>
      <c r="D4" s="14">
        <v>46222.0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40.0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67</v>
      </c>
      <c r="C8" s="9"/>
      <c r="D8" s="10"/>
    </row>
    <row r="9" ht="15.75" customHeight="1">
      <c r="A9" s="17" t="s">
        <v>7</v>
      </c>
      <c r="B9" s="18"/>
      <c r="C9" s="18"/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47</v>
      </c>
      <c r="B12" s="27"/>
      <c r="C12" s="28"/>
      <c r="D12" s="29">
        <f t="shared" ref="D12:D13" si="1">B12*C12</f>
        <v>0</v>
      </c>
    </row>
    <row r="13" ht="15.75" customHeight="1">
      <c r="A13" s="26" t="s">
        <v>48</v>
      </c>
      <c r="B13" s="27"/>
      <c r="C13" s="28"/>
      <c r="D13" s="29">
        <f t="shared" si="1"/>
        <v>0</v>
      </c>
    </row>
    <row r="14" ht="15.75" customHeight="1">
      <c r="A14" s="26" t="s">
        <v>19</v>
      </c>
      <c r="B14" s="27"/>
      <c r="C14" s="28"/>
      <c r="D14" s="29"/>
    </row>
    <row r="15" ht="15.75" customHeight="1">
      <c r="A15" s="26" t="s">
        <v>20</v>
      </c>
      <c r="B15" s="27"/>
      <c r="C15" s="28"/>
      <c r="D15" s="29">
        <f t="shared" ref="D15:D17" si="2">B15*C15</f>
        <v>0</v>
      </c>
    </row>
    <row r="16" ht="15.75" customHeight="1">
      <c r="A16" s="26" t="s">
        <v>21</v>
      </c>
      <c r="B16" s="27"/>
      <c r="C16" s="28"/>
      <c r="D16" s="29">
        <f t="shared" si="2"/>
        <v>0</v>
      </c>
    </row>
    <row r="17" ht="15.75" customHeight="1">
      <c r="A17" s="26"/>
      <c r="B17" s="27"/>
      <c r="C17" s="28"/>
      <c r="D17" s="29">
        <f t="shared" si="2"/>
        <v>0</v>
      </c>
    </row>
    <row r="18" ht="15.75" customHeight="1">
      <c r="A18" s="26"/>
      <c r="B18" s="27"/>
      <c r="C18" s="28"/>
      <c r="D18" s="29"/>
    </row>
    <row r="19" ht="15.75" customHeight="1">
      <c r="A19" s="26"/>
      <c r="B19" s="27"/>
      <c r="C19" s="28"/>
      <c r="D19" s="29"/>
    </row>
    <row r="20" ht="15.75" customHeight="1">
      <c r="A20" s="26"/>
      <c r="B20" s="30"/>
      <c r="C20" s="31"/>
      <c r="D20" s="32"/>
    </row>
    <row r="21" ht="15.75" customHeight="1">
      <c r="A21" s="33" t="s">
        <v>23</v>
      </c>
      <c r="B21" s="34"/>
      <c r="C21" s="34"/>
      <c r="D21" s="35">
        <f>SUM(D12:D20)</f>
        <v>0</v>
      </c>
    </row>
    <row r="22" ht="15.75" customHeight="1">
      <c r="A22" s="36" t="s">
        <v>24</v>
      </c>
      <c r="B22" s="37"/>
      <c r="C22" s="37"/>
      <c r="D22" s="38">
        <f>D12+D13+D14</f>
        <v>0</v>
      </c>
    </row>
    <row r="23" ht="15.75" customHeight="1">
      <c r="A23" s="39" t="s">
        <v>25</v>
      </c>
      <c r="B23" s="40"/>
      <c r="C23" s="40"/>
      <c r="D23" s="40"/>
    </row>
    <row r="24" ht="15.75" customHeight="1">
      <c r="A24" s="41"/>
      <c r="B24" s="42" t="s">
        <v>15</v>
      </c>
      <c r="C24" s="42" t="s">
        <v>16</v>
      </c>
      <c r="D24" s="42" t="s">
        <v>17</v>
      </c>
    </row>
    <row r="25" ht="15.75" customHeight="1">
      <c r="A25" s="43" t="s">
        <v>68</v>
      </c>
      <c r="B25" s="44"/>
      <c r="C25" s="45"/>
      <c r="D25" s="45"/>
    </row>
    <row r="26" ht="15.75" customHeight="1">
      <c r="A26" s="43" t="s">
        <v>27</v>
      </c>
      <c r="B26" s="44"/>
      <c r="C26" s="45"/>
      <c r="D26" s="45"/>
    </row>
    <row r="27" ht="15.75" customHeight="1">
      <c r="A27" s="43" t="s">
        <v>28</v>
      </c>
      <c r="B27" s="44"/>
      <c r="C27" s="45"/>
      <c r="D27" s="45">
        <f>B27*C27</f>
        <v>0</v>
      </c>
    </row>
    <row r="28" ht="15.75" customHeight="1">
      <c r="A28" s="43" t="s">
        <v>30</v>
      </c>
      <c r="B28" s="44"/>
      <c r="C28" s="45"/>
      <c r="D28" s="45"/>
    </row>
    <row r="29" ht="15.75" customHeight="1">
      <c r="A29" s="43" t="s">
        <v>35</v>
      </c>
      <c r="B29" s="44"/>
      <c r="C29" s="45"/>
      <c r="D29" s="45"/>
    </row>
    <row r="30" ht="15.75" customHeight="1">
      <c r="A30" s="43" t="s">
        <v>32</v>
      </c>
      <c r="B30" s="44"/>
      <c r="C30" s="45"/>
      <c r="D30" s="45"/>
    </row>
    <row r="31" ht="15.75" customHeight="1">
      <c r="A31" s="43" t="s">
        <v>33</v>
      </c>
      <c r="B31" s="44"/>
      <c r="C31" s="45"/>
      <c r="D31" s="45">
        <f t="shared" ref="D31:D36" si="3">B31*C31</f>
        <v>0</v>
      </c>
      <c r="I31" s="46"/>
    </row>
    <row r="32" ht="15.75" customHeight="1">
      <c r="A32" s="43" t="s">
        <v>52</v>
      </c>
      <c r="B32" s="44"/>
      <c r="C32" s="45"/>
      <c r="D32" s="45">
        <f t="shared" si="3"/>
        <v>0</v>
      </c>
      <c r="I32" s="46"/>
    </row>
    <row r="33" ht="15.75" customHeight="1">
      <c r="A33" s="43" t="s">
        <v>34</v>
      </c>
      <c r="B33" s="44"/>
      <c r="C33" s="45"/>
      <c r="D33" s="45">
        <f t="shared" si="3"/>
        <v>0</v>
      </c>
    </row>
    <row r="34" ht="15.75" customHeight="1">
      <c r="A34" s="43" t="s">
        <v>36</v>
      </c>
      <c r="B34" s="44"/>
      <c r="C34" s="45"/>
      <c r="D34" s="45">
        <f t="shared" si="3"/>
        <v>0</v>
      </c>
      <c r="I34" s="47"/>
    </row>
    <row r="35" ht="15.75" customHeight="1">
      <c r="A35" s="43" t="s">
        <v>37</v>
      </c>
      <c r="B35" s="44"/>
      <c r="C35" s="45"/>
      <c r="D35" s="45">
        <f t="shared" si="3"/>
        <v>0</v>
      </c>
    </row>
    <row r="36" ht="15.75" customHeight="1">
      <c r="A36" s="43" t="s">
        <v>38</v>
      </c>
      <c r="B36" s="44"/>
      <c r="C36" s="45"/>
      <c r="D36" s="45">
        <f t="shared" si="3"/>
        <v>0</v>
      </c>
    </row>
    <row r="37" ht="15.75" customHeight="1">
      <c r="A37" s="43" t="s">
        <v>39</v>
      </c>
      <c r="B37" s="44"/>
      <c r="C37" s="45"/>
      <c r="D37" s="45">
        <f>D22*10%</f>
        <v>0</v>
      </c>
    </row>
    <row r="38" ht="15.75" customHeight="1">
      <c r="A38" s="48" t="s">
        <v>40</v>
      </c>
      <c r="B38" s="49"/>
      <c r="C38" s="49"/>
      <c r="D38" s="50">
        <f>SUM(D25:D37)</f>
        <v>0</v>
      </c>
      <c r="I38" s="47"/>
    </row>
    <row r="39" ht="15.75" customHeight="1">
      <c r="A39" s="48"/>
      <c r="B39" s="15"/>
      <c r="C39" s="15"/>
      <c r="D39" s="50"/>
    </row>
    <row r="40" ht="15.75" customHeight="1">
      <c r="A40" s="48" t="s">
        <v>41</v>
      </c>
      <c r="B40" s="51" t="s">
        <v>15</v>
      </c>
      <c r="C40" s="51" t="s">
        <v>16</v>
      </c>
      <c r="D40" s="51" t="s">
        <v>17</v>
      </c>
    </row>
    <row r="41" ht="15.75" customHeight="1">
      <c r="A41" s="52" t="s">
        <v>42</v>
      </c>
      <c r="B41" s="52"/>
      <c r="C41" s="53"/>
      <c r="D41" s="65"/>
    </row>
    <row r="42" ht="15.75" customHeight="1">
      <c r="A42" s="52"/>
      <c r="B42" s="52"/>
      <c r="C42" s="53"/>
      <c r="D42" s="53"/>
    </row>
    <row r="43" ht="15.75" customHeight="1">
      <c r="A43" s="54" t="s">
        <v>43</v>
      </c>
      <c r="B43" s="15"/>
      <c r="C43" s="15"/>
      <c r="D43" s="55">
        <f>D21-D38-D41</f>
        <v>0</v>
      </c>
    </row>
    <row r="44" ht="15.75" customHeight="1">
      <c r="A44" s="15"/>
      <c r="B44" s="15"/>
      <c r="C44" s="15"/>
      <c r="D44" s="49"/>
      <c r="I44" s="46"/>
    </row>
    <row r="45" ht="15.75" customHeight="1"/>
    <row r="46" ht="15.75" customHeight="1">
      <c r="A46" s="77" t="s">
        <v>70</v>
      </c>
      <c r="D46" s="75"/>
    </row>
    <row r="47" ht="15.75" customHeight="1">
      <c r="D47" s="68"/>
    </row>
    <row r="48" ht="15.75" customHeight="1">
      <c r="D48" s="68"/>
    </row>
    <row r="49" ht="15.75" customHeight="1">
      <c r="A49" s="77" t="s">
        <v>71</v>
      </c>
      <c r="D49" s="76"/>
    </row>
    <row r="50" ht="15.75" customHeight="1">
      <c r="A50" s="77" t="s">
        <v>72</v>
      </c>
      <c r="D50" s="76"/>
    </row>
    <row r="51" ht="15.75" customHeight="1">
      <c r="A51" s="66" t="s">
        <v>58</v>
      </c>
      <c r="D51" s="78"/>
    </row>
    <row r="52" ht="15.75" customHeight="1">
      <c r="D52" s="70"/>
    </row>
    <row r="53" ht="15.75" customHeight="1">
      <c r="A53" s="66" t="s">
        <v>59</v>
      </c>
      <c r="D53" s="71">
        <f>(D49+D50+D51)/B6</f>
        <v>0</v>
      </c>
    </row>
    <row r="54" ht="15.75" customHeight="1">
      <c r="A54" s="72" t="s">
        <v>60</v>
      </c>
      <c r="B54" s="72"/>
      <c r="C54" s="72"/>
      <c r="D54" s="73">
        <f>D43+D46-D49-D50-D51-D12-D13</f>
        <v>0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0"/>
    <col customWidth="1" min="2" max="3" width="10.56"/>
    <col customWidth="1" min="4" max="4" width="26.44"/>
    <col customWidth="1" min="5" max="9" width="10.56"/>
  </cols>
  <sheetData>
    <row r="1" ht="15.75" customHeight="1">
      <c r="A1" s="1" t="s">
        <v>0</v>
      </c>
      <c r="B1" s="2"/>
      <c r="C1" s="2"/>
      <c r="D1" s="3"/>
    </row>
    <row r="2" ht="15.75" customHeight="1">
      <c r="A2" s="4"/>
      <c r="B2" s="5"/>
      <c r="C2" s="5"/>
      <c r="D2" s="6"/>
    </row>
    <row r="3" ht="15.75" customHeight="1">
      <c r="A3" s="7" t="s">
        <v>1</v>
      </c>
      <c r="B3" s="8" t="s">
        <v>2</v>
      </c>
      <c r="C3" s="9"/>
      <c r="D3" s="10"/>
    </row>
    <row r="4" ht="15.75" customHeight="1">
      <c r="A4" s="11" t="s">
        <v>3</v>
      </c>
      <c r="B4" s="12">
        <v>46222.0</v>
      </c>
      <c r="C4" s="13"/>
      <c r="D4" s="14">
        <v>46229.0</v>
      </c>
    </row>
    <row r="5" ht="15.75" customHeight="1">
      <c r="A5" s="15"/>
      <c r="B5" s="16"/>
      <c r="C5" s="16"/>
      <c r="D5" s="16"/>
    </row>
    <row r="6" ht="15.75" customHeight="1">
      <c r="A6" s="7" t="s">
        <v>4</v>
      </c>
      <c r="B6" s="13">
        <v>40.0</v>
      </c>
      <c r="C6" s="2"/>
      <c r="D6" s="3"/>
    </row>
    <row r="7" ht="15.75" customHeight="1">
      <c r="A7" s="15"/>
      <c r="B7" s="16"/>
      <c r="C7" s="16"/>
      <c r="D7" s="16"/>
    </row>
    <row r="8" ht="15.75" customHeight="1">
      <c r="A8" s="7" t="s">
        <v>5</v>
      </c>
      <c r="B8" s="8" t="s">
        <v>75</v>
      </c>
      <c r="C8" s="9"/>
      <c r="D8" s="10"/>
    </row>
    <row r="9" ht="15.75" customHeight="1">
      <c r="A9" s="17" t="s">
        <v>7</v>
      </c>
      <c r="B9" s="18"/>
      <c r="C9" s="18"/>
      <c r="D9" s="19"/>
    </row>
    <row r="10" ht="15.75" customHeight="1">
      <c r="A10" s="20" t="s">
        <v>12</v>
      </c>
      <c r="B10" s="21"/>
      <c r="C10" s="21"/>
      <c r="D10" s="22"/>
    </row>
    <row r="11" ht="15.75" customHeight="1">
      <c r="A11" s="23" t="s">
        <v>14</v>
      </c>
      <c r="B11" s="24" t="s">
        <v>15</v>
      </c>
      <c r="C11" s="24" t="s">
        <v>16</v>
      </c>
      <c r="D11" s="25" t="s">
        <v>17</v>
      </c>
    </row>
    <row r="12" ht="15.75" customHeight="1">
      <c r="A12" s="26" t="s">
        <v>47</v>
      </c>
      <c r="B12" s="27"/>
      <c r="C12" s="28"/>
      <c r="D12" s="29"/>
    </row>
    <row r="13" ht="15.75" customHeight="1">
      <c r="A13" s="26" t="s">
        <v>48</v>
      </c>
      <c r="B13" s="27"/>
      <c r="C13" s="28"/>
      <c r="D13" s="29"/>
    </row>
    <row r="14" ht="15.75" customHeight="1">
      <c r="A14" s="26" t="s">
        <v>19</v>
      </c>
      <c r="B14" s="27"/>
      <c r="C14" s="28"/>
      <c r="D14" s="29"/>
    </row>
    <row r="15" ht="15.75" customHeight="1">
      <c r="A15" s="26" t="s">
        <v>20</v>
      </c>
      <c r="B15" s="27"/>
      <c r="C15" s="28"/>
      <c r="D15" s="29"/>
    </row>
    <row r="16" ht="15.75" customHeight="1">
      <c r="A16" s="26" t="s">
        <v>21</v>
      </c>
      <c r="B16" s="27"/>
      <c r="C16" s="28"/>
      <c r="D16" s="29"/>
    </row>
    <row r="17" ht="15.75" customHeight="1">
      <c r="A17" s="26"/>
      <c r="B17" s="27"/>
      <c r="C17" s="28"/>
      <c r="D17" s="29"/>
    </row>
    <row r="18" ht="15.75" customHeight="1">
      <c r="A18" s="26"/>
      <c r="B18" s="27"/>
      <c r="C18" s="28"/>
      <c r="D18" s="29"/>
    </row>
    <row r="19" ht="15.75" customHeight="1">
      <c r="A19" s="26"/>
      <c r="B19" s="27"/>
      <c r="C19" s="28"/>
      <c r="D19" s="29"/>
    </row>
    <row r="20" ht="15.75" customHeight="1">
      <c r="A20" s="26"/>
      <c r="B20" s="30"/>
      <c r="C20" s="31"/>
      <c r="D20" s="32"/>
    </row>
    <row r="21" ht="15.75" customHeight="1">
      <c r="A21" s="33" t="s">
        <v>23</v>
      </c>
      <c r="B21" s="34"/>
      <c r="C21" s="34"/>
      <c r="D21" s="35"/>
    </row>
    <row r="22" ht="15.75" customHeight="1">
      <c r="A22" s="36" t="s">
        <v>24</v>
      </c>
      <c r="B22" s="37"/>
      <c r="C22" s="37"/>
      <c r="D22" s="38"/>
    </row>
    <row r="23" ht="15.75" customHeight="1">
      <c r="A23" s="39" t="s">
        <v>25</v>
      </c>
      <c r="B23" s="40"/>
      <c r="C23" s="40"/>
      <c r="D23" s="40"/>
    </row>
    <row r="24" ht="15.75" customHeight="1">
      <c r="A24" s="41"/>
      <c r="B24" s="42" t="s">
        <v>15</v>
      </c>
      <c r="C24" s="42" t="s">
        <v>16</v>
      </c>
      <c r="D24" s="42" t="s">
        <v>17</v>
      </c>
    </row>
    <row r="25" ht="15.75" customHeight="1">
      <c r="A25" s="43" t="s">
        <v>68</v>
      </c>
      <c r="B25" s="44"/>
      <c r="C25" s="45"/>
      <c r="D25" s="45"/>
    </row>
    <row r="26" ht="15.75" customHeight="1">
      <c r="A26" s="43" t="s">
        <v>27</v>
      </c>
      <c r="B26" s="44"/>
      <c r="C26" s="45"/>
      <c r="D26" s="45"/>
    </row>
    <row r="27" ht="15.75" customHeight="1">
      <c r="A27" s="43" t="s">
        <v>28</v>
      </c>
      <c r="B27" s="44"/>
      <c r="C27" s="45"/>
      <c r="D27" s="45"/>
    </row>
    <row r="28" ht="15.75" customHeight="1">
      <c r="A28" s="43" t="s">
        <v>30</v>
      </c>
      <c r="B28" s="44"/>
      <c r="C28" s="45"/>
      <c r="D28" s="45"/>
    </row>
    <row r="29" ht="15.75" customHeight="1">
      <c r="A29" s="43" t="s">
        <v>35</v>
      </c>
      <c r="B29" s="44"/>
      <c r="C29" s="45"/>
      <c r="D29" s="45"/>
    </row>
    <row r="30" ht="15.75" customHeight="1">
      <c r="A30" s="43" t="s">
        <v>32</v>
      </c>
      <c r="B30" s="44"/>
      <c r="C30" s="45"/>
      <c r="D30" s="45"/>
    </row>
    <row r="31" ht="15.75" customHeight="1">
      <c r="A31" s="43" t="s">
        <v>33</v>
      </c>
      <c r="B31" s="44"/>
      <c r="C31" s="45"/>
      <c r="D31" s="45"/>
      <c r="I31" s="46"/>
    </row>
    <row r="32" ht="15.75" customHeight="1">
      <c r="A32" s="43" t="s">
        <v>52</v>
      </c>
      <c r="B32" s="44"/>
      <c r="C32" s="45"/>
      <c r="D32" s="45"/>
      <c r="I32" s="46"/>
    </row>
    <row r="33" ht="15.75" customHeight="1">
      <c r="A33" s="43" t="s">
        <v>34</v>
      </c>
      <c r="B33" s="44"/>
      <c r="C33" s="45"/>
      <c r="D33" s="45"/>
    </row>
    <row r="34" ht="15.75" customHeight="1">
      <c r="A34" s="43" t="s">
        <v>36</v>
      </c>
      <c r="B34" s="44"/>
      <c r="C34" s="45"/>
      <c r="D34" s="45"/>
      <c r="I34" s="47"/>
    </row>
    <row r="35" ht="15.75" customHeight="1">
      <c r="A35" s="43" t="s">
        <v>37</v>
      </c>
      <c r="B35" s="44"/>
      <c r="C35" s="45"/>
      <c r="D35" s="45"/>
    </row>
    <row r="36" ht="15.75" customHeight="1">
      <c r="A36" s="43" t="s">
        <v>38</v>
      </c>
      <c r="B36" s="44"/>
      <c r="C36" s="45"/>
      <c r="D36" s="45"/>
    </row>
    <row r="37" ht="15.75" customHeight="1">
      <c r="A37" s="43" t="s">
        <v>39</v>
      </c>
      <c r="B37" s="44"/>
      <c r="C37" s="45"/>
      <c r="D37" s="45"/>
    </row>
    <row r="38" ht="15.75" customHeight="1">
      <c r="A38" s="48" t="s">
        <v>40</v>
      </c>
      <c r="B38" s="49"/>
      <c r="C38" s="49"/>
      <c r="D38" s="50"/>
      <c r="I38" s="47"/>
    </row>
    <row r="39" ht="15.75" customHeight="1">
      <c r="A39" s="48"/>
      <c r="B39" s="15"/>
      <c r="C39" s="15"/>
      <c r="D39" s="50"/>
    </row>
    <row r="40" ht="15.75" customHeight="1">
      <c r="A40" s="48" t="s">
        <v>41</v>
      </c>
      <c r="B40" s="51" t="s">
        <v>15</v>
      </c>
      <c r="C40" s="51" t="s">
        <v>16</v>
      </c>
      <c r="D40" s="51" t="s">
        <v>17</v>
      </c>
    </row>
    <row r="41" ht="15.75" customHeight="1">
      <c r="A41" s="52" t="s">
        <v>42</v>
      </c>
      <c r="B41" s="52"/>
      <c r="C41" s="53"/>
      <c r="D41" s="65"/>
    </row>
    <row r="42" ht="15.75" customHeight="1">
      <c r="A42" s="52"/>
      <c r="B42" s="52"/>
      <c r="C42" s="53"/>
      <c r="D42" s="53"/>
    </row>
    <row r="43" ht="15.75" customHeight="1">
      <c r="A43" s="54" t="s">
        <v>43</v>
      </c>
      <c r="B43" s="15"/>
      <c r="C43" s="15"/>
      <c r="D43" s="55"/>
    </row>
    <row r="44" ht="15.75" customHeight="1">
      <c r="A44" s="15"/>
      <c r="B44" s="15"/>
      <c r="C44" s="15"/>
      <c r="D44" s="49"/>
      <c r="I44" s="46"/>
    </row>
    <row r="45" ht="15.75" customHeight="1"/>
    <row r="46" ht="15.75" customHeight="1">
      <c r="A46" s="77" t="s">
        <v>70</v>
      </c>
      <c r="D46" s="75"/>
    </row>
    <row r="47" ht="15.75" customHeight="1">
      <c r="D47" s="68"/>
    </row>
    <row r="48" ht="15.75" customHeight="1">
      <c r="D48" s="68"/>
    </row>
    <row r="49" ht="15.75" customHeight="1">
      <c r="A49" s="77" t="s">
        <v>71</v>
      </c>
      <c r="D49" s="76"/>
    </row>
    <row r="50" ht="15.75" customHeight="1">
      <c r="A50" s="77" t="s">
        <v>72</v>
      </c>
      <c r="D50" s="76"/>
    </row>
    <row r="51" ht="15.75" customHeight="1">
      <c r="A51" s="66" t="s">
        <v>58</v>
      </c>
      <c r="D51" s="78"/>
    </row>
    <row r="52" ht="15.75" customHeight="1">
      <c r="D52" s="70"/>
    </row>
    <row r="53" ht="15.75" customHeight="1">
      <c r="A53" s="66" t="s">
        <v>59</v>
      </c>
      <c r="D53" s="71">
        <f>(D49+D50+D51)/B6</f>
        <v>0</v>
      </c>
    </row>
    <row r="54" ht="15.75" customHeight="1">
      <c r="A54" s="72" t="s">
        <v>60</v>
      </c>
      <c r="B54" s="72"/>
      <c r="C54" s="72"/>
      <c r="D54" s="73">
        <f>D43+D46-D49-D50-D51-D12-D13</f>
        <v>0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D1"/>
    <mergeCell ref="A2:C2"/>
    <mergeCell ref="B3:D3"/>
    <mergeCell ref="B6:D6"/>
    <mergeCell ref="B8:D8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1.22" defaultRowHeight="15.0"/>
  <cols>
    <col customWidth="1" min="1" max="1" width="18.0"/>
    <col customWidth="1" min="2" max="2" width="34.0"/>
    <col customWidth="1" min="3" max="3" width="10.0"/>
    <col customWidth="1" min="4" max="4" width="13.0"/>
    <col customWidth="1" min="5" max="5" width="15.0"/>
    <col customWidth="1" min="6" max="6" width="18.0"/>
    <col customWidth="1" min="7" max="7" width="19.0"/>
    <col customWidth="1" min="8" max="8" width="17.0"/>
    <col customWidth="1" min="9" max="26" width="8.56"/>
  </cols>
  <sheetData>
    <row r="1" ht="30.0" customHeight="1">
      <c r="A1" s="81" t="s">
        <v>73</v>
      </c>
    </row>
    <row r="2" ht="27.75" customHeight="1">
      <c r="A2" s="82" t="s">
        <v>74</v>
      </c>
    </row>
    <row r="3">
      <c r="A3" s="83"/>
      <c r="B3" s="83"/>
      <c r="C3" s="83"/>
      <c r="D3" s="83"/>
      <c r="E3" s="83"/>
      <c r="F3" s="83"/>
      <c r="G3" s="83"/>
      <c r="H3" s="83"/>
    </row>
    <row r="4">
      <c r="A4" s="84" t="s">
        <v>76</v>
      </c>
      <c r="B4" s="85" t="s">
        <v>77</v>
      </c>
      <c r="C4" s="84" t="s">
        <v>78</v>
      </c>
      <c r="D4" s="85" t="s">
        <v>2</v>
      </c>
      <c r="E4" s="84" t="s">
        <v>79</v>
      </c>
      <c r="F4" s="86">
        <v>24.0</v>
      </c>
      <c r="G4" s="84" t="s">
        <v>80</v>
      </c>
      <c r="H4" s="85" t="s">
        <v>81</v>
      </c>
    </row>
    <row r="5">
      <c r="A5" s="84" t="s">
        <v>82</v>
      </c>
      <c r="B5" s="85" t="s">
        <v>83</v>
      </c>
      <c r="C5" s="84" t="s">
        <v>84</v>
      </c>
      <c r="D5" s="85" t="s">
        <v>85</v>
      </c>
      <c r="E5" s="84" t="s">
        <v>86</v>
      </c>
      <c r="F5" s="85" t="s">
        <v>6</v>
      </c>
      <c r="G5" s="84" t="s">
        <v>87</v>
      </c>
      <c r="H5" s="85" t="s">
        <v>88</v>
      </c>
    </row>
    <row r="6">
      <c r="A6" s="84" t="s">
        <v>89</v>
      </c>
      <c r="B6" s="85" t="s">
        <v>90</v>
      </c>
      <c r="C6" s="84" t="s">
        <v>91</v>
      </c>
      <c r="D6" s="85" t="s">
        <v>92</v>
      </c>
      <c r="E6" s="84" t="s">
        <v>93</v>
      </c>
      <c r="F6" s="85" t="s">
        <v>94</v>
      </c>
      <c r="G6" s="84" t="s">
        <v>95</v>
      </c>
      <c r="H6" s="85" t="s">
        <v>96</v>
      </c>
    </row>
    <row r="7">
      <c r="A7" s="83"/>
      <c r="B7" s="83"/>
      <c r="C7" s="83"/>
      <c r="D7" s="83"/>
      <c r="E7" s="83"/>
      <c r="F7" s="83"/>
      <c r="G7" s="83"/>
      <c r="H7" s="83"/>
    </row>
    <row r="8" ht="24.0" customHeight="1">
      <c r="A8" s="87" t="s">
        <v>97</v>
      </c>
      <c r="C8" s="87" t="s">
        <v>98</v>
      </c>
      <c r="E8" s="87" t="s">
        <v>99</v>
      </c>
      <c r="G8" s="87" t="s">
        <v>100</v>
      </c>
    </row>
    <row r="9" ht="24.0" customHeight="1">
      <c r="A9" s="88">
        <f>E48</f>
        <v>-6229</v>
      </c>
      <c r="B9" s="89"/>
      <c r="C9" s="90">
        <f>E49</f>
        <v>6605</v>
      </c>
      <c r="D9" s="89"/>
      <c r="E9" s="90">
        <f>E50</f>
        <v>376</v>
      </c>
      <c r="F9" s="89"/>
      <c r="G9" s="91">
        <f>E51</f>
        <v>0.01895543456</v>
      </c>
      <c r="H9" s="92"/>
    </row>
    <row r="10">
      <c r="A10" s="83"/>
      <c r="B10" s="83"/>
      <c r="C10" s="83"/>
      <c r="D10" s="83"/>
      <c r="E10" s="83"/>
      <c r="F10" s="83"/>
      <c r="G10" s="83"/>
      <c r="H10" s="83"/>
    </row>
    <row r="11">
      <c r="A11" s="93" t="s">
        <v>101</v>
      </c>
    </row>
    <row r="12" ht="21.0" customHeight="1">
      <c r="A12" s="94" t="s">
        <v>102</v>
      </c>
      <c r="B12" s="94" t="s">
        <v>103</v>
      </c>
      <c r="C12" s="94" t="s">
        <v>104</v>
      </c>
      <c r="D12" s="94" t="s">
        <v>105</v>
      </c>
      <c r="E12" s="94" t="s">
        <v>106</v>
      </c>
      <c r="F12" s="94" t="s">
        <v>107</v>
      </c>
      <c r="G12" s="94" t="s">
        <v>108</v>
      </c>
      <c r="H12" s="94" t="s">
        <v>109</v>
      </c>
    </row>
    <row r="13" ht="21.75" customHeight="1">
      <c r="A13" s="95" t="s">
        <v>110</v>
      </c>
      <c r="B13" s="95" t="s">
        <v>111</v>
      </c>
      <c r="C13" s="96">
        <v>1.0</v>
      </c>
      <c r="D13" s="97">
        <v>5916.0</v>
      </c>
      <c r="E13" s="97">
        <f t="shared" ref="E13:E17" si="1">C13*D13</f>
        <v>5916</v>
      </c>
      <c r="F13" s="98" t="s">
        <v>112</v>
      </c>
      <c r="G13" s="98" t="s">
        <v>113</v>
      </c>
      <c r="H13" s="98" t="s">
        <v>114</v>
      </c>
    </row>
    <row r="14" ht="21.75" customHeight="1">
      <c r="A14" s="95" t="s">
        <v>115</v>
      </c>
      <c r="B14" s="95" t="s">
        <v>116</v>
      </c>
      <c r="C14" s="96">
        <v>24.0</v>
      </c>
      <c r="D14" s="97">
        <v>150.0</v>
      </c>
      <c r="E14" s="97">
        <f t="shared" si="1"/>
        <v>3600</v>
      </c>
      <c r="F14" s="98" t="s">
        <v>112</v>
      </c>
      <c r="G14" s="98" t="s">
        <v>117</v>
      </c>
      <c r="H14" s="98" t="s">
        <v>118</v>
      </c>
    </row>
    <row r="15" ht="21.75" customHeight="1">
      <c r="A15" s="99" t="s">
        <v>119</v>
      </c>
      <c r="B15" s="99" t="s">
        <v>120</v>
      </c>
      <c r="C15" s="100">
        <v>1.0</v>
      </c>
      <c r="D15" s="101">
        <v>295.0</v>
      </c>
      <c r="E15" s="101">
        <f t="shared" si="1"/>
        <v>295</v>
      </c>
      <c r="F15" s="102" t="s">
        <v>121</v>
      </c>
      <c r="G15" s="102" t="s">
        <v>122</v>
      </c>
      <c r="H15" s="102" t="s">
        <v>118</v>
      </c>
    </row>
    <row r="16" ht="21.75" customHeight="1">
      <c r="A16" s="99" t="s">
        <v>119</v>
      </c>
      <c r="B16" s="99" t="s">
        <v>123</v>
      </c>
      <c r="C16" s="100">
        <v>1.0</v>
      </c>
      <c r="D16" s="101">
        <v>160.0</v>
      </c>
      <c r="E16" s="101">
        <f t="shared" si="1"/>
        <v>160</v>
      </c>
      <c r="F16" s="102" t="s">
        <v>121</v>
      </c>
      <c r="G16" s="102" t="s">
        <v>122</v>
      </c>
      <c r="H16" s="102" t="s">
        <v>118</v>
      </c>
    </row>
    <row r="17" ht="21.75" customHeight="1">
      <c r="A17" s="99" t="s">
        <v>119</v>
      </c>
      <c r="B17" s="99" t="s">
        <v>124</v>
      </c>
      <c r="C17" s="100">
        <v>1.0</v>
      </c>
      <c r="D17" s="101">
        <v>9865.0</v>
      </c>
      <c r="E17" s="101">
        <f t="shared" si="1"/>
        <v>9865</v>
      </c>
      <c r="F17" s="102" t="s">
        <v>121</v>
      </c>
      <c r="G17" s="102" t="s">
        <v>117</v>
      </c>
      <c r="H17" s="102" t="s">
        <v>118</v>
      </c>
    </row>
    <row r="18" ht="21.0" customHeight="1">
      <c r="A18" s="103" t="s">
        <v>125</v>
      </c>
      <c r="B18" s="104"/>
      <c r="C18" s="104"/>
      <c r="D18" s="105"/>
      <c r="E18" s="106">
        <f>SUM(E13:E14)</f>
        <v>9516</v>
      </c>
      <c r="F18" s="107" t="s">
        <v>126</v>
      </c>
      <c r="G18" s="104"/>
      <c r="H18" s="105"/>
    </row>
    <row r="19" ht="21.0" customHeight="1">
      <c r="A19" s="108" t="s">
        <v>127</v>
      </c>
      <c r="B19" s="104"/>
      <c r="C19" s="104"/>
      <c r="D19" s="105"/>
      <c r="E19" s="109">
        <f>SUM(E15:E17)</f>
        <v>10320</v>
      </c>
      <c r="F19" s="110" t="s">
        <v>128</v>
      </c>
      <c r="G19" s="104"/>
      <c r="H19" s="105"/>
    </row>
    <row r="20" ht="21.0" customHeight="1">
      <c r="A20" s="111" t="s">
        <v>129</v>
      </c>
      <c r="B20" s="89"/>
      <c r="C20" s="89"/>
      <c r="D20" s="92"/>
      <c r="E20" s="112">
        <f>SUM(E13:E17)</f>
        <v>19836</v>
      </c>
      <c r="F20" s="113" t="s">
        <v>130</v>
      </c>
      <c r="G20" s="89"/>
      <c r="H20" s="92"/>
    </row>
    <row r="21" ht="21.0" customHeight="1">
      <c r="A21" s="114"/>
      <c r="B21" s="114"/>
      <c r="C21" s="115"/>
      <c r="D21" s="115"/>
      <c r="E21" s="115"/>
      <c r="F21" s="116"/>
      <c r="G21" s="116"/>
      <c r="H21" s="116"/>
    </row>
    <row r="22" ht="21.0" customHeight="1">
      <c r="A22" s="117" t="s">
        <v>131</v>
      </c>
    </row>
    <row r="23" ht="21.0" customHeight="1">
      <c r="A23" s="94" t="s">
        <v>102</v>
      </c>
      <c r="B23" s="94" t="s">
        <v>103</v>
      </c>
      <c r="C23" s="118" t="s">
        <v>104</v>
      </c>
      <c r="D23" s="118" t="s">
        <v>105</v>
      </c>
      <c r="E23" s="118" t="s">
        <v>106</v>
      </c>
      <c r="F23" s="94" t="s">
        <v>107</v>
      </c>
      <c r="G23" s="94" t="s">
        <v>132</v>
      </c>
      <c r="H23" s="94" t="s">
        <v>109</v>
      </c>
    </row>
    <row r="24" ht="21.75" customHeight="1">
      <c r="A24" s="95" t="s">
        <v>133</v>
      </c>
      <c r="B24" s="95" t="s">
        <v>56</v>
      </c>
      <c r="C24" s="96">
        <v>1.0</v>
      </c>
      <c r="D24" s="97">
        <v>2448.0</v>
      </c>
      <c r="E24" s="97">
        <f t="shared" ref="E24:E40" si="2">C24*D24</f>
        <v>2448</v>
      </c>
      <c r="F24" s="98" t="s">
        <v>112</v>
      </c>
      <c r="G24" s="98" t="s">
        <v>113</v>
      </c>
      <c r="H24" s="98" t="s">
        <v>134</v>
      </c>
    </row>
    <row r="25" ht="21.75" customHeight="1">
      <c r="A25" s="95" t="s">
        <v>133</v>
      </c>
      <c r="B25" s="95" t="s">
        <v>57</v>
      </c>
      <c r="C25" s="96">
        <v>1.0</v>
      </c>
      <c r="D25" s="97">
        <v>2196.0</v>
      </c>
      <c r="E25" s="97">
        <f t="shared" si="2"/>
        <v>2196</v>
      </c>
      <c r="F25" s="98" t="s">
        <v>112</v>
      </c>
      <c r="G25" s="98" t="s">
        <v>113</v>
      </c>
      <c r="H25" s="98" t="s">
        <v>134</v>
      </c>
    </row>
    <row r="26" ht="21.75" customHeight="1">
      <c r="A26" s="95" t="s">
        <v>133</v>
      </c>
      <c r="B26" s="95" t="s">
        <v>135</v>
      </c>
      <c r="C26" s="96">
        <v>1.0</v>
      </c>
      <c r="D26" s="97">
        <v>2820.0</v>
      </c>
      <c r="E26" s="97">
        <f t="shared" si="2"/>
        <v>2820</v>
      </c>
      <c r="F26" s="98" t="s">
        <v>112</v>
      </c>
      <c r="G26" s="98" t="s">
        <v>113</v>
      </c>
      <c r="H26" s="98" t="s">
        <v>134</v>
      </c>
    </row>
    <row r="27" ht="21.75" customHeight="1">
      <c r="A27" s="95" t="s">
        <v>136</v>
      </c>
      <c r="B27" s="95" t="s">
        <v>137</v>
      </c>
      <c r="C27" s="96">
        <v>1.0</v>
      </c>
      <c r="D27" s="97">
        <v>5500.0</v>
      </c>
      <c r="E27" s="97">
        <f t="shared" si="2"/>
        <v>5500</v>
      </c>
      <c r="F27" s="98" t="s">
        <v>112</v>
      </c>
      <c r="G27" s="98" t="s">
        <v>113</v>
      </c>
      <c r="H27" s="98" t="s">
        <v>134</v>
      </c>
    </row>
    <row r="28" ht="21.75" customHeight="1">
      <c r="A28" s="95" t="s">
        <v>138</v>
      </c>
      <c r="B28" s="95" t="s">
        <v>139</v>
      </c>
      <c r="C28" s="96">
        <v>1.0</v>
      </c>
      <c r="D28" s="97">
        <v>381.0</v>
      </c>
      <c r="E28" s="97">
        <f t="shared" si="2"/>
        <v>381</v>
      </c>
      <c r="F28" s="98" t="s">
        <v>112</v>
      </c>
      <c r="G28" s="98" t="s">
        <v>117</v>
      </c>
      <c r="H28" s="98" t="s">
        <v>134</v>
      </c>
    </row>
    <row r="29" ht="21.75" customHeight="1">
      <c r="A29" s="95" t="s">
        <v>138</v>
      </c>
      <c r="B29" s="95" t="s">
        <v>140</v>
      </c>
      <c r="C29" s="96">
        <v>1.0</v>
      </c>
      <c r="D29" s="97">
        <v>555.0</v>
      </c>
      <c r="E29" s="97">
        <f t="shared" si="2"/>
        <v>555</v>
      </c>
      <c r="F29" s="98" t="s">
        <v>112</v>
      </c>
      <c r="G29" s="98" t="s">
        <v>117</v>
      </c>
      <c r="H29" s="98" t="s">
        <v>134</v>
      </c>
    </row>
    <row r="30" ht="21.75" customHeight="1">
      <c r="A30" s="95" t="s">
        <v>138</v>
      </c>
      <c r="B30" s="95" t="s">
        <v>141</v>
      </c>
      <c r="C30" s="96">
        <v>1.0</v>
      </c>
      <c r="D30" s="97">
        <v>195.0</v>
      </c>
      <c r="E30" s="97">
        <f t="shared" si="2"/>
        <v>195</v>
      </c>
      <c r="F30" s="98" t="s">
        <v>112</v>
      </c>
      <c r="G30" s="98" t="s">
        <v>117</v>
      </c>
      <c r="H30" s="98" t="s">
        <v>134</v>
      </c>
    </row>
    <row r="31" ht="21.75" customHeight="1">
      <c r="A31" s="95" t="s">
        <v>86</v>
      </c>
      <c r="B31" s="95" t="s">
        <v>142</v>
      </c>
      <c r="C31" s="96">
        <v>7.5</v>
      </c>
      <c r="D31" s="97">
        <v>200.0</v>
      </c>
      <c r="E31" s="97">
        <f t="shared" si="2"/>
        <v>1500</v>
      </c>
      <c r="F31" s="98" t="s">
        <v>112</v>
      </c>
      <c r="G31" s="98" t="s">
        <v>117</v>
      </c>
      <c r="H31" s="98" t="s">
        <v>134</v>
      </c>
    </row>
    <row r="32" ht="21.75" customHeight="1">
      <c r="A32" s="95" t="s">
        <v>86</v>
      </c>
      <c r="B32" s="95" t="s">
        <v>143</v>
      </c>
      <c r="C32" s="96">
        <v>1.0</v>
      </c>
      <c r="D32" s="97">
        <v>150.0</v>
      </c>
      <c r="E32" s="97">
        <f t="shared" si="2"/>
        <v>150</v>
      </c>
      <c r="F32" s="98" t="s">
        <v>112</v>
      </c>
      <c r="G32" s="98" t="s">
        <v>117</v>
      </c>
      <c r="H32" s="98" t="s">
        <v>134</v>
      </c>
    </row>
    <row r="33" ht="21.75" customHeight="1">
      <c r="A33" s="99" t="s">
        <v>119</v>
      </c>
      <c r="B33" s="99" t="s">
        <v>28</v>
      </c>
      <c r="C33" s="100">
        <v>11.0</v>
      </c>
      <c r="D33" s="101">
        <v>20.0</v>
      </c>
      <c r="E33" s="101">
        <f t="shared" si="2"/>
        <v>220</v>
      </c>
      <c r="F33" s="102" t="s">
        <v>121</v>
      </c>
      <c r="G33" s="102" t="s">
        <v>117</v>
      </c>
      <c r="H33" s="102" t="s">
        <v>134</v>
      </c>
    </row>
    <row r="34" ht="21.75" customHeight="1">
      <c r="A34" s="99" t="s">
        <v>119</v>
      </c>
      <c r="B34" s="99" t="s">
        <v>53</v>
      </c>
      <c r="C34" s="100">
        <v>1.0</v>
      </c>
      <c r="D34" s="101">
        <v>120.0</v>
      </c>
      <c r="E34" s="101">
        <f t="shared" si="2"/>
        <v>120</v>
      </c>
      <c r="F34" s="102" t="s">
        <v>121</v>
      </c>
      <c r="G34" s="102" t="s">
        <v>117</v>
      </c>
      <c r="H34" s="102" t="s">
        <v>134</v>
      </c>
    </row>
    <row r="35" ht="21.75" customHeight="1">
      <c r="A35" s="99" t="s">
        <v>119</v>
      </c>
      <c r="B35" s="99" t="s">
        <v>144</v>
      </c>
      <c r="C35" s="100">
        <v>1.0</v>
      </c>
      <c r="D35" s="101">
        <v>65.0</v>
      </c>
      <c r="E35" s="101">
        <f t="shared" si="2"/>
        <v>65</v>
      </c>
      <c r="F35" s="102" t="s">
        <v>121</v>
      </c>
      <c r="G35" s="102" t="s">
        <v>117</v>
      </c>
      <c r="H35" s="102" t="s">
        <v>134</v>
      </c>
    </row>
    <row r="36" ht="21.75" customHeight="1">
      <c r="A36" s="99" t="s">
        <v>119</v>
      </c>
      <c r="B36" s="99" t="s">
        <v>145</v>
      </c>
      <c r="C36" s="100">
        <v>16.0</v>
      </c>
      <c r="D36" s="101">
        <v>28.0</v>
      </c>
      <c r="E36" s="101">
        <f t="shared" si="2"/>
        <v>448</v>
      </c>
      <c r="F36" s="102" t="s">
        <v>121</v>
      </c>
      <c r="G36" s="102" t="s">
        <v>117</v>
      </c>
      <c r="H36" s="102" t="s">
        <v>134</v>
      </c>
    </row>
    <row r="37" ht="21.75" customHeight="1">
      <c r="A37" s="99" t="s">
        <v>119</v>
      </c>
      <c r="B37" s="99" t="s">
        <v>52</v>
      </c>
      <c r="C37" s="100">
        <v>19.0</v>
      </c>
      <c r="D37" s="101">
        <v>23.0</v>
      </c>
      <c r="E37" s="101">
        <f t="shared" si="2"/>
        <v>437</v>
      </c>
      <c r="F37" s="102" t="s">
        <v>121</v>
      </c>
      <c r="G37" s="102" t="s">
        <v>117</v>
      </c>
      <c r="H37" s="102" t="s">
        <v>134</v>
      </c>
    </row>
    <row r="38" ht="21.75" customHeight="1">
      <c r="A38" s="99" t="s">
        <v>119</v>
      </c>
      <c r="B38" s="99" t="s">
        <v>146</v>
      </c>
      <c r="C38" s="100">
        <v>7.0</v>
      </c>
      <c r="D38" s="101">
        <v>56.0</v>
      </c>
      <c r="E38" s="101">
        <f t="shared" si="2"/>
        <v>392</v>
      </c>
      <c r="F38" s="102" t="s">
        <v>121</v>
      </c>
      <c r="G38" s="102" t="s">
        <v>117</v>
      </c>
      <c r="H38" s="102" t="s">
        <v>134</v>
      </c>
    </row>
    <row r="39" ht="21.75" customHeight="1">
      <c r="A39" s="99" t="s">
        <v>119</v>
      </c>
      <c r="B39" s="99" t="s">
        <v>147</v>
      </c>
      <c r="C39" s="100">
        <v>18.0</v>
      </c>
      <c r="D39" s="101">
        <v>33.0</v>
      </c>
      <c r="E39" s="101">
        <f t="shared" si="2"/>
        <v>594</v>
      </c>
      <c r="F39" s="102" t="s">
        <v>121</v>
      </c>
      <c r="G39" s="102" t="s">
        <v>117</v>
      </c>
      <c r="H39" s="102" t="s">
        <v>134</v>
      </c>
    </row>
    <row r="40" ht="21.75" customHeight="1">
      <c r="A40" s="99" t="s">
        <v>119</v>
      </c>
      <c r="B40" s="99" t="s">
        <v>148</v>
      </c>
      <c r="C40" s="100">
        <v>11.0</v>
      </c>
      <c r="D40" s="101">
        <v>37.0</v>
      </c>
      <c r="E40" s="101">
        <f t="shared" si="2"/>
        <v>407</v>
      </c>
      <c r="F40" s="102" t="s">
        <v>121</v>
      </c>
      <c r="G40" s="102" t="s">
        <v>117</v>
      </c>
      <c r="H40" s="102" t="s">
        <v>134</v>
      </c>
    </row>
    <row r="41" ht="21.75" customHeight="1">
      <c r="A41" s="99" t="s">
        <v>86</v>
      </c>
      <c r="B41" s="99" t="s">
        <v>149</v>
      </c>
      <c r="C41" s="100">
        <v>1.0</v>
      </c>
      <c r="D41" s="101">
        <f>E19*10%</f>
        <v>1032</v>
      </c>
      <c r="E41" s="101">
        <f>D41</f>
        <v>1032</v>
      </c>
      <c r="F41" s="102" t="s">
        <v>121</v>
      </c>
      <c r="G41" s="102" t="s">
        <v>117</v>
      </c>
      <c r="H41" s="102" t="s">
        <v>134</v>
      </c>
    </row>
    <row r="42" ht="21.0" customHeight="1">
      <c r="A42" s="114"/>
      <c r="B42" s="114"/>
      <c r="C42" s="115"/>
      <c r="D42" s="119"/>
      <c r="E42" s="119"/>
      <c r="F42" s="116"/>
      <c r="G42" s="116"/>
      <c r="H42" s="116"/>
    </row>
    <row r="43" ht="21.0" customHeight="1">
      <c r="A43" s="103" t="s">
        <v>150</v>
      </c>
      <c r="B43" s="104"/>
      <c r="C43" s="104"/>
      <c r="D43" s="105"/>
      <c r="E43" s="106">
        <f>SUM(E24:E32)</f>
        <v>15745</v>
      </c>
      <c r="F43" s="107" t="s">
        <v>151</v>
      </c>
      <c r="G43" s="104"/>
      <c r="H43" s="105"/>
    </row>
    <row r="44" ht="21.0" customHeight="1">
      <c r="A44" s="108" t="s">
        <v>152</v>
      </c>
      <c r="B44" s="104"/>
      <c r="C44" s="104"/>
      <c r="D44" s="105"/>
      <c r="E44" s="109">
        <f>SUM(E33:E41)</f>
        <v>3715</v>
      </c>
      <c r="F44" s="110" t="s">
        <v>153</v>
      </c>
      <c r="G44" s="104"/>
      <c r="H44" s="105"/>
    </row>
    <row r="45" ht="21.0" customHeight="1">
      <c r="A45" s="120" t="s">
        <v>154</v>
      </c>
      <c r="B45" s="89"/>
      <c r="C45" s="89"/>
      <c r="D45" s="92"/>
      <c r="E45" s="121">
        <f>SUM(E24:E41)</f>
        <v>19460</v>
      </c>
      <c r="F45" s="122" t="s">
        <v>155</v>
      </c>
      <c r="G45" s="89"/>
      <c r="H45" s="92"/>
    </row>
    <row r="46" ht="21.0" customHeight="1">
      <c r="A46" s="114"/>
      <c r="B46" s="114"/>
      <c r="C46" s="115"/>
      <c r="D46" s="119"/>
      <c r="E46" s="119"/>
      <c r="F46" s="116"/>
      <c r="G46" s="116"/>
      <c r="H46" s="116"/>
    </row>
    <row r="47" ht="21.0" customHeight="1">
      <c r="A47" s="123" t="s">
        <v>156</v>
      </c>
    </row>
    <row r="48" ht="21.0" customHeight="1">
      <c r="A48" s="124" t="s">
        <v>97</v>
      </c>
      <c r="B48" s="104"/>
      <c r="C48" s="104"/>
      <c r="D48" s="105"/>
      <c r="E48" s="125">
        <f t="shared" ref="E48:E50" si="3">E18-E43</f>
        <v>-6229</v>
      </c>
      <c r="F48" s="126" t="s">
        <v>157</v>
      </c>
      <c r="G48" s="104"/>
      <c r="H48" s="105"/>
    </row>
    <row r="49" ht="21.0" customHeight="1">
      <c r="A49" s="127" t="s">
        <v>98</v>
      </c>
      <c r="B49" s="104"/>
      <c r="C49" s="104"/>
      <c r="D49" s="105"/>
      <c r="E49" s="101">
        <f t="shared" si="3"/>
        <v>6605</v>
      </c>
      <c r="F49" s="128" t="s">
        <v>158</v>
      </c>
      <c r="G49" s="104"/>
      <c r="H49" s="105"/>
    </row>
    <row r="50" ht="21.0" customHeight="1">
      <c r="A50" s="111" t="s">
        <v>159</v>
      </c>
      <c r="B50" s="89"/>
      <c r="C50" s="89"/>
      <c r="D50" s="92"/>
      <c r="E50" s="112">
        <f t="shared" si="3"/>
        <v>376</v>
      </c>
      <c r="F50" s="113" t="s">
        <v>160</v>
      </c>
      <c r="G50" s="89"/>
      <c r="H50" s="92"/>
    </row>
    <row r="51" ht="21.0" customHeight="1">
      <c r="A51" s="129" t="s">
        <v>100</v>
      </c>
      <c r="B51" s="104"/>
      <c r="C51" s="104"/>
      <c r="D51" s="105"/>
      <c r="E51" s="130">
        <f>IF(E20=0,0,E50/E20)</f>
        <v>0.01895543456</v>
      </c>
      <c r="F51" s="131" t="s">
        <v>161</v>
      </c>
      <c r="G51" s="104"/>
      <c r="H51" s="105"/>
    </row>
    <row r="52" ht="21.0" customHeight="1">
      <c r="A52" s="114"/>
      <c r="B52" s="114"/>
      <c r="C52" s="115"/>
      <c r="D52" s="115"/>
      <c r="E52" s="115"/>
      <c r="F52" s="116"/>
      <c r="G52" s="116"/>
      <c r="H52" s="116"/>
    </row>
    <row r="53" ht="21.0" customHeight="1">
      <c r="A53" s="132" t="s">
        <v>162</v>
      </c>
    </row>
    <row r="54" ht="21.0" customHeight="1">
      <c r="A54" s="133" t="s">
        <v>163</v>
      </c>
      <c r="B54" s="104"/>
      <c r="C54" s="104"/>
      <c r="D54" s="105"/>
      <c r="E54" s="134">
        <f>E17</f>
        <v>9865</v>
      </c>
      <c r="F54" s="135" t="s">
        <v>164</v>
      </c>
      <c r="G54" s="104"/>
      <c r="H54" s="105"/>
    </row>
    <row r="55" ht="21.0" customHeight="1">
      <c r="A55" s="133" t="s">
        <v>165</v>
      </c>
      <c r="B55" s="104"/>
      <c r="C55" s="104"/>
      <c r="D55" s="105"/>
      <c r="E55" s="134">
        <f>E14</f>
        <v>3600</v>
      </c>
      <c r="F55" s="135" t="s">
        <v>164</v>
      </c>
      <c r="G55" s="104"/>
      <c r="H55" s="105"/>
    </row>
    <row r="56" ht="21.0" customHeight="1">
      <c r="A56" s="133" t="s">
        <v>166</v>
      </c>
      <c r="B56" s="104"/>
      <c r="C56" s="104"/>
      <c r="D56" s="105"/>
      <c r="E56" s="134">
        <v>0.0</v>
      </c>
      <c r="F56" s="135" t="s">
        <v>164</v>
      </c>
      <c r="G56" s="104"/>
      <c r="H56" s="105"/>
    </row>
    <row r="57" ht="21.0" customHeight="1">
      <c r="A57" s="133" t="s">
        <v>167</v>
      </c>
      <c r="B57" s="104"/>
      <c r="C57" s="104"/>
      <c r="D57" s="105"/>
      <c r="E57" s="134">
        <f>SUM(E28:E41)</f>
        <v>6496</v>
      </c>
      <c r="F57" s="135" t="s">
        <v>168</v>
      </c>
      <c r="G57" s="104"/>
      <c r="H57" s="105"/>
    </row>
    <row r="58" ht="21.0" customHeight="1">
      <c r="A58" s="133" t="s">
        <v>169</v>
      </c>
      <c r="B58" s="104"/>
      <c r="C58" s="104"/>
      <c r="D58" s="105"/>
      <c r="E58" s="134">
        <f>E14</f>
        <v>3600</v>
      </c>
      <c r="F58" s="135" t="s">
        <v>170</v>
      </c>
      <c r="G58" s="104"/>
      <c r="H58" s="105"/>
    </row>
    <row r="59" ht="21.0" customHeight="1">
      <c r="A59" s="133" t="s">
        <v>171</v>
      </c>
      <c r="B59" s="104"/>
      <c r="C59" s="104"/>
      <c r="D59" s="105"/>
      <c r="E59" s="134">
        <v>0.0</v>
      </c>
      <c r="F59" s="135" t="s">
        <v>168</v>
      </c>
      <c r="G59" s="104"/>
      <c r="H59" s="105"/>
    </row>
    <row r="60" ht="21.0" customHeight="1">
      <c r="A60" s="136" t="s">
        <v>172</v>
      </c>
      <c r="B60" s="89"/>
      <c r="C60" s="89"/>
      <c r="D60" s="92"/>
      <c r="E60" s="137">
        <f>E54+E55+E56-E57-E58-E59</f>
        <v>3369</v>
      </c>
      <c r="F60" s="138" t="s">
        <v>173</v>
      </c>
      <c r="G60" s="89"/>
      <c r="H60" s="92"/>
    </row>
    <row r="61" ht="15.75" customHeight="1">
      <c r="A61" s="114"/>
      <c r="B61" s="114"/>
      <c r="C61" s="114"/>
      <c r="D61" s="114"/>
      <c r="E61" s="114"/>
      <c r="F61" s="114"/>
      <c r="G61" s="114"/>
      <c r="H61" s="114"/>
    </row>
    <row r="62" ht="27.75" customHeight="1">
      <c r="A62" s="139" t="s">
        <v>174</v>
      </c>
      <c r="B62" s="140"/>
      <c r="C62" s="140"/>
      <c r="D62" s="140"/>
      <c r="E62" s="140"/>
      <c r="F62" s="140"/>
      <c r="G62" s="140"/>
      <c r="H62" s="141"/>
    </row>
    <row r="63" ht="27.75" customHeight="1">
      <c r="A63" s="142"/>
      <c r="B63" s="143"/>
      <c r="C63" s="143"/>
      <c r="D63" s="143"/>
      <c r="E63" s="143"/>
      <c r="F63" s="143"/>
      <c r="G63" s="143"/>
      <c r="H63" s="144"/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9">
    <mergeCell ref="A45:D45"/>
    <mergeCell ref="A47:H47"/>
    <mergeCell ref="A48:D48"/>
    <mergeCell ref="F48:H48"/>
    <mergeCell ref="A49:D49"/>
    <mergeCell ref="F49:H49"/>
    <mergeCell ref="F50:H50"/>
    <mergeCell ref="F51:H51"/>
    <mergeCell ref="A53:H53"/>
    <mergeCell ref="A54:D54"/>
    <mergeCell ref="F54:H54"/>
    <mergeCell ref="A55:D55"/>
    <mergeCell ref="F55:H55"/>
    <mergeCell ref="F56:H56"/>
    <mergeCell ref="C9:D9"/>
    <mergeCell ref="E9:F9"/>
    <mergeCell ref="A1:H1"/>
    <mergeCell ref="A2:H2"/>
    <mergeCell ref="A8:B8"/>
    <mergeCell ref="C8:D8"/>
    <mergeCell ref="E8:F8"/>
    <mergeCell ref="G8:H8"/>
    <mergeCell ref="A9:B9"/>
    <mergeCell ref="G9:H9"/>
    <mergeCell ref="A11:H11"/>
    <mergeCell ref="A18:D18"/>
    <mergeCell ref="F18:H18"/>
    <mergeCell ref="A19:D19"/>
    <mergeCell ref="F19:H19"/>
    <mergeCell ref="F20:H20"/>
    <mergeCell ref="A20:D20"/>
    <mergeCell ref="A22:H22"/>
    <mergeCell ref="A43:D43"/>
    <mergeCell ref="F43:H43"/>
    <mergeCell ref="A44:D44"/>
    <mergeCell ref="F44:H44"/>
    <mergeCell ref="F45:H45"/>
    <mergeCell ref="A50:D50"/>
    <mergeCell ref="A51:D51"/>
    <mergeCell ref="A56:D56"/>
    <mergeCell ref="A57:D57"/>
    <mergeCell ref="A58:D58"/>
    <mergeCell ref="A59:D59"/>
    <mergeCell ref="A60:D60"/>
    <mergeCell ref="F57:H57"/>
    <mergeCell ref="F58:H58"/>
    <mergeCell ref="F59:H59"/>
    <mergeCell ref="F60:H60"/>
    <mergeCell ref="A62:H63"/>
  </mergeCells>
  <conditionalFormatting sqref="E50">
    <cfRule type="cellIs" dxfId="0" priority="1" operator="greaterThanOrEqual">
      <formula>0</formula>
    </cfRule>
  </conditionalFormatting>
  <conditionalFormatting sqref="E50">
    <cfRule type="cellIs" dxfId="1" priority="2" operator="lessThan">
      <formula>0</formula>
    </cfRule>
  </conditionalFormatting>
  <printOptions/>
  <pageMargins bottom="0.75" footer="0.0" header="0.0" left="0.7" right="0.7" top="0.75"/>
  <pageSetup orientation="landscape"/>
  <drawing r:id="rId1"/>
</worksheet>
</file>