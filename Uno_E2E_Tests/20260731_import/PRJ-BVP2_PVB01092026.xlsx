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44FDF9C2-5D31-403F-B224-927C88FED78F}" xr6:coauthVersionLast="47" xr6:coauthVersionMax="47" xr10:uidLastSave="{00000000-0000-0000-0000-000000000000}"/>
  <bookViews>
    <workbookView xWindow="-19310" yWindow="660" windowWidth="19420" windowHeight="10300" activeTab="2" xr2:uid="{00000000-000D-0000-FFFF-FFFF00000000}"/>
  </bookViews>
  <sheets>
    <sheet name="Rooming" sheetId="5" r:id="rId1"/>
    <sheet name="Flights" sheetId="4" r:id="rId2"/>
    <sheet name="Hotels" sheetId="2" r:id="rId3"/>
    <sheet name="Sheet2" sheetId="6" r:id="rId4"/>
  </sheets>
  <calcPr calcId="191029"/>
  <pivotCaches>
    <pivotCache cacheId="1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6" l="1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9" i="6"/>
</calcChain>
</file>

<file path=xl/sharedStrings.xml><?xml version="1.0" encoding="utf-8"?>
<sst xmlns="http://schemas.openxmlformats.org/spreadsheetml/2006/main" count="680" uniqueCount="300">
  <si>
    <t>Yolcu Adı</t>
  </si>
  <si>
    <t>Yolcu Soyadı</t>
  </si>
  <si>
    <t>Cinsiyet</t>
  </si>
  <si>
    <t>T.C. Kimlik No</t>
  </si>
  <si>
    <t>Doğum Tarihi</t>
  </si>
  <si>
    <t>Telefon</t>
  </si>
  <si>
    <t>MR</t>
  </si>
  <si>
    <t>MRS</t>
  </si>
  <si>
    <t>CHD</t>
  </si>
  <si>
    <t>LİNA</t>
  </si>
  <si>
    <t>Pasaport No</t>
  </si>
  <si>
    <t>Pasaport type</t>
  </si>
  <si>
    <t>Visa No</t>
  </si>
  <si>
    <t>Red</t>
  </si>
  <si>
    <t>Green</t>
  </si>
  <si>
    <t>Adress</t>
  </si>
  <si>
    <t>RoomType</t>
  </si>
  <si>
    <t>single</t>
  </si>
  <si>
    <t>Double</t>
  </si>
  <si>
    <t>Triple</t>
  </si>
  <si>
    <t>Pax Type</t>
  </si>
  <si>
    <t>Adult</t>
  </si>
  <si>
    <t>Children</t>
  </si>
  <si>
    <t>Infant</t>
  </si>
  <si>
    <t>Twin</t>
  </si>
  <si>
    <t>HotelName</t>
  </si>
  <si>
    <t>Location</t>
  </si>
  <si>
    <t>Star</t>
  </si>
  <si>
    <t>Automated Test Hotel b8a9b523</t>
  </si>
  <si>
    <t>Prague</t>
  </si>
  <si>
    <t>Startdate</t>
  </si>
  <si>
    <t>Enddate</t>
  </si>
  <si>
    <t>FlightNo</t>
  </si>
  <si>
    <t>Departure</t>
  </si>
  <si>
    <t>Arrival</t>
  </si>
  <si>
    <t>Istanbul</t>
  </si>
  <si>
    <t>Departure Date Time</t>
  </si>
  <si>
    <t>Arrival Date Time</t>
  </si>
  <si>
    <t>01.09.2026</t>
  </si>
  <si>
    <t>05.09.2026</t>
  </si>
  <si>
    <t>Budapest Grand Hotel</t>
  </si>
  <si>
    <t>Budapest</t>
  </si>
  <si>
    <t>03.09.2026</t>
  </si>
  <si>
    <t>Vienna Imperial</t>
  </si>
  <si>
    <t>Vienna</t>
  </si>
  <si>
    <t>03.03.2026</t>
  </si>
  <si>
    <t xml:space="preserve">Prag </t>
  </si>
  <si>
    <t>VF 335</t>
  </si>
  <si>
    <t>01.09.2026  07:55</t>
  </si>
  <si>
    <t>01.09.2026  09:20</t>
  </si>
  <si>
    <t>VF 110</t>
  </si>
  <si>
    <t>07.09.2026  16:15</t>
  </si>
  <si>
    <t>07.09.2026  19:15</t>
  </si>
  <si>
    <t>AHMET KEREM</t>
  </si>
  <si>
    <t>AKSOY</t>
  </si>
  <si>
    <t>28408864549</t>
  </si>
  <si>
    <t>90 536 945 43 22</t>
  </si>
  <si>
    <t>8714005979</t>
  </si>
  <si>
    <t>321549974</t>
  </si>
  <si>
    <t>Kadıköy / İstanbul</t>
  </si>
  <si>
    <t>AYLİN</t>
  </si>
  <si>
    <t>AYDIN</t>
  </si>
  <si>
    <t>46520708547</t>
  </si>
  <si>
    <t>22/05/1995</t>
  </si>
  <si>
    <t>90 530 851 73 91</t>
  </si>
  <si>
    <t>9500547874</t>
  </si>
  <si>
    <t>244511578</t>
  </si>
  <si>
    <t>Çankaya / Ankara</t>
  </si>
  <si>
    <t>BORA</t>
  </si>
  <si>
    <t>BAYRAKTAR</t>
  </si>
  <si>
    <t>64910198315</t>
  </si>
  <si>
    <t>30/03/1977</t>
  </si>
  <si>
    <t>90 539 590 46 79</t>
  </si>
  <si>
    <t>7704748378</t>
  </si>
  <si>
    <t>857911094</t>
  </si>
  <si>
    <t>Konak / İzmir</t>
  </si>
  <si>
    <t>BANU</t>
  </si>
  <si>
    <t>ÇELİK</t>
  </si>
  <si>
    <t>33835542056</t>
  </si>
  <si>
    <t>28/12/1978</t>
  </si>
  <si>
    <t>90 533 880 36 13</t>
  </si>
  <si>
    <t>6848562860</t>
  </si>
  <si>
    <t>Nilüfer / Bursa</t>
  </si>
  <si>
    <t>CEM</t>
  </si>
  <si>
    <t>DEMİRCİ</t>
  </si>
  <si>
    <t>18184608760</t>
  </si>
  <si>
    <t>29/05/2004</t>
  </si>
  <si>
    <t>90 553 366 61 29</t>
  </si>
  <si>
    <t>3324324077</t>
  </si>
  <si>
    <t>Muratpaşa / Antalya</t>
  </si>
  <si>
    <t>DENİZ ALP</t>
  </si>
  <si>
    <t>ERDOĞAN</t>
  </si>
  <si>
    <t>53647661223</t>
  </si>
  <si>
    <t>21/12/1995</t>
  </si>
  <si>
    <t>90 545 658 58 51</t>
  </si>
  <si>
    <t>7659887797</t>
  </si>
  <si>
    <t>232587688</t>
  </si>
  <si>
    <t>Tepebaşı / Eskişehir</t>
  </si>
  <si>
    <t>CEREN</t>
  </si>
  <si>
    <t>13767191792</t>
  </si>
  <si>
    <t>7308400516</t>
  </si>
  <si>
    <t>DERYA</t>
  </si>
  <si>
    <t>GÜNEŞ</t>
  </si>
  <si>
    <t>60232949653</t>
  </si>
  <si>
    <t>20/02/1974</t>
  </si>
  <si>
    <t>90 532 488 32 23</t>
  </si>
  <si>
    <t>3918792149</t>
  </si>
  <si>
    <t>Atakum / Samsun</t>
  </si>
  <si>
    <t>EMRE</t>
  </si>
  <si>
    <t>45707282304</t>
  </si>
  <si>
    <t>6151245955</t>
  </si>
  <si>
    <t>802466916</t>
  </si>
  <si>
    <t>EBRU</t>
  </si>
  <si>
    <t>KARA</t>
  </si>
  <si>
    <t>56955845981</t>
  </si>
  <si>
    <t>90 539 652 92 07</t>
  </si>
  <si>
    <t>9253160932</t>
  </si>
  <si>
    <t>Selçuklu / Konya</t>
  </si>
  <si>
    <t>FURKAN</t>
  </si>
  <si>
    <t>53091531421</t>
  </si>
  <si>
    <t>24/11/2019</t>
  </si>
  <si>
    <t>9674996455</t>
  </si>
  <si>
    <t>GÖKHAN</t>
  </si>
  <si>
    <t>KOÇ</t>
  </si>
  <si>
    <t>52911820692</t>
  </si>
  <si>
    <t>16/02/1997</t>
  </si>
  <si>
    <t>90 555 094 66 74</t>
  </si>
  <si>
    <t>9917863260</t>
  </si>
  <si>
    <t>Ortahisar / Trabzon</t>
  </si>
  <si>
    <t>FERAY</t>
  </si>
  <si>
    <t>69280016734</t>
  </si>
  <si>
    <t>24/11/2018</t>
  </si>
  <si>
    <t>6303513834</t>
  </si>
  <si>
    <t>299995707</t>
  </si>
  <si>
    <t>GİZEM</t>
  </si>
  <si>
    <t>KURT</t>
  </si>
  <si>
    <t>38186138374</t>
  </si>
  <si>
    <t>29/04/1971</t>
  </si>
  <si>
    <t>90 531 300 11 51</t>
  </si>
  <si>
    <t>2222089567</t>
  </si>
  <si>
    <t>Şehitkamil / Gaziantep</t>
  </si>
  <si>
    <t>HANDE</t>
  </si>
  <si>
    <t>48257004921</t>
  </si>
  <si>
    <t>13/12/1981</t>
  </si>
  <si>
    <t>2929583125</t>
  </si>
  <si>
    <t>367186118</t>
  </si>
  <si>
    <t>HAKAN</t>
  </si>
  <si>
    <t>ÖZKAN</t>
  </si>
  <si>
    <t>12866167208</t>
  </si>
  <si>
    <t>90 535 884 20 82</t>
  </si>
  <si>
    <t>1145447494</t>
  </si>
  <si>
    <t>İREM</t>
  </si>
  <si>
    <t>85388376368</t>
  </si>
  <si>
    <t>1244923998</t>
  </si>
  <si>
    <t>İLKER</t>
  </si>
  <si>
    <t>POLAT</t>
  </si>
  <si>
    <t>34664950382</t>
  </si>
  <si>
    <t>90 542 252 16 04</t>
  </si>
  <si>
    <t>9613993829</t>
  </si>
  <si>
    <t>158441583</t>
  </si>
  <si>
    <t>KAAN</t>
  </si>
  <si>
    <t>86761487891</t>
  </si>
  <si>
    <t>16/10/1997</t>
  </si>
  <si>
    <t>1003559099</t>
  </si>
  <si>
    <t>244383483</t>
  </si>
  <si>
    <t>JALE</t>
  </si>
  <si>
    <t>SAĞLAM</t>
  </si>
  <si>
    <t>19336520845</t>
  </si>
  <si>
    <t>29/04/1985</t>
  </si>
  <si>
    <t>90 539 032 86 50</t>
  </si>
  <si>
    <t>2902812321</t>
  </si>
  <si>
    <t>LALE</t>
  </si>
  <si>
    <t>35258795023</t>
  </si>
  <si>
    <t>6095079153</t>
  </si>
  <si>
    <t>LEVENT</t>
  </si>
  <si>
    <t>ŞAHİN</t>
  </si>
  <si>
    <t>66075386306</t>
  </si>
  <si>
    <t>30/01/1973</t>
  </si>
  <si>
    <t>90 537 923 11 58</t>
  </si>
  <si>
    <t>1033938914</t>
  </si>
  <si>
    <t>MELİS</t>
  </si>
  <si>
    <t>83270996572</t>
  </si>
  <si>
    <t>25/03/1992</t>
  </si>
  <si>
    <t>4692095352</t>
  </si>
  <si>
    <t>NAZAN</t>
  </si>
  <si>
    <t>TAŞÇI</t>
  </si>
  <si>
    <t>35023053380</t>
  </si>
  <si>
    <t>28/07/1975</t>
  </si>
  <si>
    <t>90 531 063 67 59</t>
  </si>
  <si>
    <t>7593251855</t>
  </si>
  <si>
    <t>MERT CAN</t>
  </si>
  <si>
    <t>60193785659</t>
  </si>
  <si>
    <t>26/07/1972</t>
  </si>
  <si>
    <t>9739821082</t>
  </si>
  <si>
    <t>171684986</t>
  </si>
  <si>
    <t>OĞUZ</t>
  </si>
  <si>
    <t>TEKİN</t>
  </si>
  <si>
    <t>59675761549</t>
  </si>
  <si>
    <t>25/10/2002</t>
  </si>
  <si>
    <t>90 536 673 97 11</t>
  </si>
  <si>
    <t>8503472483</t>
  </si>
  <si>
    <t>332312180</t>
  </si>
  <si>
    <t>PELİN</t>
  </si>
  <si>
    <t>38948876703</t>
  </si>
  <si>
    <t>2078155949</t>
  </si>
  <si>
    <t>ONUR</t>
  </si>
  <si>
    <t>11214007284</t>
  </si>
  <si>
    <t>6542104515</t>
  </si>
  <si>
    <t>RÜYA</t>
  </si>
  <si>
    <t>TOPRAK</t>
  </si>
  <si>
    <t>50539718138</t>
  </si>
  <si>
    <t>14/07/1968</t>
  </si>
  <si>
    <t>90 531 845 40 91</t>
  </si>
  <si>
    <t>5996815913</t>
  </si>
  <si>
    <t>RIZA</t>
  </si>
  <si>
    <t>96659630833</t>
  </si>
  <si>
    <t>5883814424</t>
  </si>
  <si>
    <t>800105368</t>
  </si>
  <si>
    <t>SELİN</t>
  </si>
  <si>
    <t>53472859173</t>
  </si>
  <si>
    <t>5197834834</t>
  </si>
  <si>
    <t>SELÇUK</t>
  </si>
  <si>
    <t>UÇAR</t>
  </si>
  <si>
    <t>96324748163</t>
  </si>
  <si>
    <t>17/05/2003</t>
  </si>
  <si>
    <t>90 555 030 41 40</t>
  </si>
  <si>
    <t>7582889597</t>
  </si>
  <si>
    <t>599466654</t>
  </si>
  <si>
    <t>TUĞÇE</t>
  </si>
  <si>
    <t>38565701691</t>
  </si>
  <si>
    <t>20/04/1955</t>
  </si>
  <si>
    <t>2793762565</t>
  </si>
  <si>
    <t>YASEMİN</t>
  </si>
  <si>
    <t>35685341735</t>
  </si>
  <si>
    <t>4337132533</t>
  </si>
  <si>
    <t>ZEYNEP</t>
  </si>
  <si>
    <t>YILDIRIM</t>
  </si>
  <si>
    <t>72317941815</t>
  </si>
  <si>
    <t>25/10/1970</t>
  </si>
  <si>
    <t>90 544 247 67 78</t>
  </si>
  <si>
    <t>3267584148</t>
  </si>
  <si>
    <t>TOLGA</t>
  </si>
  <si>
    <t>48483039144</t>
  </si>
  <si>
    <t>14/04/2018</t>
  </si>
  <si>
    <t>1386238280</t>
  </si>
  <si>
    <t>534975294</t>
  </si>
  <si>
    <t>ASLI</t>
  </si>
  <si>
    <t>59532183962</t>
  </si>
  <si>
    <t>9287571311</t>
  </si>
  <si>
    <t>673514359</t>
  </si>
  <si>
    <t>UMUT</t>
  </si>
  <si>
    <t>12411423088</t>
  </si>
  <si>
    <t>90 534 725 94 95</t>
  </si>
  <si>
    <t>4280260142</t>
  </si>
  <si>
    <t>416968721</t>
  </si>
  <si>
    <t>DEFNE</t>
  </si>
  <si>
    <t>22643184360</t>
  </si>
  <si>
    <t>16/06/1952</t>
  </si>
  <si>
    <t>6580601378</t>
  </si>
  <si>
    <t>VOLKAN</t>
  </si>
  <si>
    <t>84555817381</t>
  </si>
  <si>
    <t>23/04/2023</t>
  </si>
  <si>
    <t>1141265247</t>
  </si>
  <si>
    <t>YALÇIN</t>
  </si>
  <si>
    <t>18698346056</t>
  </si>
  <si>
    <t>15/02/1982</t>
  </si>
  <si>
    <t>90 554 607 60 90</t>
  </si>
  <si>
    <t>5997897497</t>
  </si>
  <si>
    <t>ELİF</t>
  </si>
  <si>
    <t>71541964827</t>
  </si>
  <si>
    <t>1769010561</t>
  </si>
  <si>
    <t>98320991356</t>
  </si>
  <si>
    <t>90 555 944 11 31</t>
  </si>
  <si>
    <t>3824839265</t>
  </si>
  <si>
    <t>ARDA</t>
  </si>
  <si>
    <t>16886059928</t>
  </si>
  <si>
    <t>29/05/2014</t>
  </si>
  <si>
    <t>8848086334</t>
  </si>
  <si>
    <t>723415303</t>
  </si>
  <si>
    <t>EFE</t>
  </si>
  <si>
    <t>11775451903</t>
  </si>
  <si>
    <t>16/08/1959</t>
  </si>
  <si>
    <t>90 535 364 53 29</t>
  </si>
  <si>
    <t>3692095731</t>
  </si>
  <si>
    <t>733302405</t>
  </si>
  <si>
    <t>MİNA</t>
  </si>
  <si>
    <t>29385342562</t>
  </si>
  <si>
    <t>9060328734</t>
  </si>
  <si>
    <t>ATLAS</t>
  </si>
  <si>
    <t>59874482277</t>
  </si>
  <si>
    <t>26/09/2014</t>
  </si>
  <si>
    <t>90 533 931 62 46</t>
  </si>
  <si>
    <t>4075066402</t>
  </si>
  <si>
    <t>NEHİR</t>
  </si>
  <si>
    <t>48656230603</t>
  </si>
  <si>
    <t>2652957030</t>
  </si>
  <si>
    <t>916474105</t>
  </si>
  <si>
    <t>Row Labels</t>
  </si>
  <si>
    <t>Grand Total</t>
  </si>
  <si>
    <t>Count of Yolcu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</si>
</sst>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937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3F7FC"/>
        <bgColor rgb="FF000000"/>
      </patternFill>
    </fill>
    <fill>
      <patternFill patternType="solid">
        <fgColor rgb="FF17365D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9FBAD0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center"/>
    </xf>
  </cellXfs>
  <cellStyles count="4">
    <cellStyle name="Normal" xfId="0" builtinId="0"/>
    <cellStyle name="Normal 2" xfId="1" xr:uid="{3CCC97F6-8749-4541-A91F-ED188B268E6E}"/>
    <cellStyle name="Normal 3" xfId="2" xr:uid="{B6FBF630-3869-4BA3-985A-B8B7493DE610}"/>
    <cellStyle name="Normal 4" xfId="3" xr:uid="{F143582A-4477-409E-9E05-9297F5975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sen celebi" refreshedDate="46235.80032858796" createdVersion="8" refreshedVersion="8" minRefreshableVersion="3" recordCount="48" xr:uid="{75F7A8EA-ED60-45B4-BDF7-94F6AAF1295B}">
  <cacheSource type="worksheet">
    <worksheetSource ref="A1:L49" sheet="Rooming"/>
  </cacheSource>
  <cacheFields count="12">
    <cacheField name="Yolcu Adı" numFmtId="0">
      <sharedItems count="48">
        <s v="AHMET KEREM"/>
        <s v="AYLİN"/>
        <s v="BORA"/>
        <s v="BANU"/>
        <s v="CEM"/>
        <s v="DENİZ ALP"/>
        <s v="CEREN"/>
        <s v="DERYA"/>
        <s v="EMRE"/>
        <s v="EBRU"/>
        <s v="FURKAN"/>
        <s v="GÖKHAN"/>
        <s v="FERAY"/>
        <s v="GİZEM"/>
        <s v="HANDE"/>
        <s v="HAKAN"/>
        <s v="İREM"/>
        <s v="İLKER"/>
        <s v="KAAN"/>
        <s v="JALE"/>
        <s v="LALE"/>
        <s v="LEVENT"/>
        <s v="MELİS"/>
        <s v="NAZAN"/>
        <s v="MERT CAN"/>
        <s v="OĞUZ"/>
        <s v="PELİN"/>
        <s v="ONUR"/>
        <s v="RÜYA"/>
        <s v="RIZA"/>
        <s v="SELİN"/>
        <s v="SELÇUK"/>
        <s v="TUĞÇE"/>
        <s v="YASEMİN"/>
        <s v="ZEYNEP"/>
        <s v="TOLGA"/>
        <s v="ASLI"/>
        <s v="UMUT"/>
        <s v="DEFNE"/>
        <s v="VOLKAN"/>
        <s v="YALÇIN"/>
        <s v="ELİF"/>
        <s v="LİNA"/>
        <s v="ARDA"/>
        <s v="EFE"/>
        <s v="MİNA"/>
        <s v="ATLAS"/>
        <s v="NEHİR"/>
      </sharedItems>
    </cacheField>
    <cacheField name="Yolcu Soyadı" numFmtId="0">
      <sharedItems/>
    </cacheField>
    <cacheField name="Cinsiyet" numFmtId="0">
      <sharedItems/>
    </cacheField>
    <cacheField name="RoomType" numFmtId="0">
      <sharedItems count="4">
        <s v="single"/>
        <s v="Double"/>
        <s v="Triple"/>
        <s v="Twin"/>
      </sharedItems>
    </cacheField>
    <cacheField name="Pax Type" numFmtId="0">
      <sharedItems count="3">
        <s v="Adult"/>
        <s v="Children"/>
        <s v="Infant"/>
      </sharedItems>
    </cacheField>
    <cacheField name="T.C. Kimlik No" numFmtId="49">
      <sharedItems/>
    </cacheField>
    <cacheField name="Doğum Tarihi" numFmtId="164">
      <sharedItems containsDate="1" containsMixedTypes="1" minDate="1952-04-10T00:00:00" maxDate="2023-12-07T00:00:00"/>
    </cacheField>
    <cacheField name="Telefon" numFmtId="49">
      <sharedItems/>
    </cacheField>
    <cacheField name="Pasaport No" numFmtId="49">
      <sharedItems/>
    </cacheField>
    <cacheField name="Pasaport type" numFmtId="49">
      <sharedItems/>
    </cacheField>
    <cacheField name="Visa No" numFmtId="49">
      <sharedItems containsBlank="1"/>
    </cacheField>
    <cacheField name="A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AKSOY"/>
    <s v="MR"/>
    <x v="0"/>
    <x v="0"/>
    <s v="28408864549"/>
    <d v="1990-07-09T00:00:00"/>
    <s v="90 536 945 43 22"/>
    <s v="8714005979"/>
    <s v="Red"/>
    <s v="321549974"/>
    <s v="Kadıköy / İstanbul"/>
  </r>
  <r>
    <x v="1"/>
    <s v="AYDIN"/>
    <s v="MRS"/>
    <x v="0"/>
    <x v="0"/>
    <s v="46520708547"/>
    <s v="22/05/1995"/>
    <s v="90 530 851 73 91"/>
    <s v="9500547874"/>
    <s v="Red"/>
    <s v="244511578"/>
    <s v="Çankaya / Ankara"/>
  </r>
  <r>
    <x v="2"/>
    <s v="BAYRAKTAR"/>
    <s v="MR"/>
    <x v="0"/>
    <x v="0"/>
    <s v="64910198315"/>
    <s v="30/03/1977"/>
    <s v="90 539 590 46 79"/>
    <s v="7704748378"/>
    <s v="Red"/>
    <s v="857911094"/>
    <s v="Konak / İzmir"/>
  </r>
  <r>
    <x v="3"/>
    <s v="ÇELİK"/>
    <s v="MRS"/>
    <x v="0"/>
    <x v="0"/>
    <s v="33835542056"/>
    <s v="28/12/1978"/>
    <s v="90 533 880 36 13"/>
    <s v="6848562860"/>
    <s v="Green"/>
    <m/>
    <s v="Nilüfer / Bursa"/>
  </r>
  <r>
    <x v="4"/>
    <s v="DEMİRCİ"/>
    <s v="MR"/>
    <x v="0"/>
    <x v="0"/>
    <s v="18184608760"/>
    <s v="29/05/2004"/>
    <s v="90 553 366 61 29"/>
    <s v="3324324077"/>
    <s v="Green"/>
    <m/>
    <s v="Muratpaşa / Antalya"/>
  </r>
  <r>
    <x v="5"/>
    <s v="ERDOĞAN"/>
    <s v="MR"/>
    <x v="1"/>
    <x v="0"/>
    <s v="53647661223"/>
    <s v="21/12/1995"/>
    <s v="90 545 658 58 51"/>
    <s v="7659887797"/>
    <s v="Red"/>
    <s v="232587688"/>
    <s v="Tepebaşı / Eskişehir"/>
  </r>
  <r>
    <x v="6"/>
    <s v="ERDOĞAN"/>
    <s v="MRS"/>
    <x v="1"/>
    <x v="0"/>
    <s v="13767191792"/>
    <d v="1973-11-12T00:00:00"/>
    <s v="90 545 658 58 51"/>
    <s v="7308400516"/>
    <s v="Green"/>
    <m/>
    <s v="Tepebaşı / Eskişehir"/>
  </r>
  <r>
    <x v="7"/>
    <s v="GÜNEŞ"/>
    <s v="MRS"/>
    <x v="1"/>
    <x v="0"/>
    <s v="60232949653"/>
    <s v="20/02/1974"/>
    <s v="90 532 488 32 23"/>
    <s v="3918792149"/>
    <s v="Green"/>
    <m/>
    <s v="Atakum / Samsun"/>
  </r>
  <r>
    <x v="8"/>
    <s v="GÜNEŞ"/>
    <s v="MR"/>
    <x v="1"/>
    <x v="0"/>
    <s v="45707282304"/>
    <d v="1973-02-06T00:00:00"/>
    <s v="90 532 488 32 23"/>
    <s v="6151245955"/>
    <s v="Red"/>
    <s v="802466916"/>
    <s v="Atakum / Samsun"/>
  </r>
  <r>
    <x v="9"/>
    <s v="KARA"/>
    <s v="MRS"/>
    <x v="1"/>
    <x v="0"/>
    <s v="56955845981"/>
    <d v="1955-10-12T00:00:00"/>
    <s v="90 539 652 92 07"/>
    <s v="9253160932"/>
    <s v="Green"/>
    <m/>
    <s v="Selçuklu / Konya"/>
  </r>
  <r>
    <x v="10"/>
    <s v="KARA"/>
    <s v="CHD"/>
    <x v="1"/>
    <x v="1"/>
    <s v="53091531421"/>
    <s v="24/11/2019"/>
    <s v="90 539 652 92 07"/>
    <s v="9674996455"/>
    <s v="Green"/>
    <m/>
    <s v="Selçuklu / Konya"/>
  </r>
  <r>
    <x v="11"/>
    <s v="KOÇ"/>
    <s v="MR"/>
    <x v="1"/>
    <x v="0"/>
    <s v="52911820692"/>
    <s v="16/02/1997"/>
    <s v="90 555 094 66 74"/>
    <s v="9917863260"/>
    <s v="Green"/>
    <m/>
    <s v="Ortahisar / Trabzon"/>
  </r>
  <r>
    <x v="12"/>
    <s v="KOÇ"/>
    <s v="CHD"/>
    <x v="1"/>
    <x v="1"/>
    <s v="69280016734"/>
    <s v="24/11/2018"/>
    <s v="90 555 094 66 74"/>
    <s v="6303513834"/>
    <s v="Red"/>
    <s v="299995707"/>
    <s v="Ortahisar / Trabzon"/>
  </r>
  <r>
    <x v="13"/>
    <s v="KURT"/>
    <s v="MRS"/>
    <x v="1"/>
    <x v="0"/>
    <s v="38186138374"/>
    <s v="29/04/1971"/>
    <s v="90 531 300 11 51"/>
    <s v="2222089567"/>
    <s v="Green"/>
    <m/>
    <s v="Şehitkamil / Gaziantep"/>
  </r>
  <r>
    <x v="14"/>
    <s v="KURT"/>
    <s v="MRS"/>
    <x v="1"/>
    <x v="0"/>
    <s v="48257004921"/>
    <s v="13/12/1981"/>
    <s v="90 531 300 11 51"/>
    <s v="2929583125"/>
    <s v="Red"/>
    <s v="367186118"/>
    <s v="Şehitkamil / Gaziantep"/>
  </r>
  <r>
    <x v="15"/>
    <s v="ÖZKAN"/>
    <s v="MR"/>
    <x v="1"/>
    <x v="0"/>
    <s v="12866167208"/>
    <d v="1970-10-10T00:00:00"/>
    <s v="90 535 884 20 82"/>
    <s v="1145447494"/>
    <s v="Green"/>
    <m/>
    <s v="Kadıköy / İstanbul"/>
  </r>
  <r>
    <x v="16"/>
    <s v="ÖZKAN"/>
    <s v="MRS"/>
    <x v="1"/>
    <x v="0"/>
    <s v="85388376368"/>
    <d v="1975-08-12T00:00:00"/>
    <s v="90 535 884 20 82"/>
    <s v="1244923998"/>
    <s v="Green"/>
    <m/>
    <s v="Kadıköy / İstanbul"/>
  </r>
  <r>
    <x v="17"/>
    <s v="POLAT"/>
    <s v="MR"/>
    <x v="1"/>
    <x v="0"/>
    <s v="34664950382"/>
    <d v="1968-03-05T00:00:00"/>
    <s v="90 542 252 16 04"/>
    <s v="9613993829"/>
    <s v="Red"/>
    <s v="158441583"/>
    <s v="Çankaya / Ankara"/>
  </r>
  <r>
    <x v="18"/>
    <s v="POLAT"/>
    <s v="MR"/>
    <x v="1"/>
    <x v="0"/>
    <s v="86761487891"/>
    <s v="16/10/1997"/>
    <s v="90 542 252 16 04"/>
    <s v="1003559099"/>
    <s v="Red"/>
    <s v="244383483"/>
    <s v="Çankaya / Ankara"/>
  </r>
  <r>
    <x v="19"/>
    <s v="SAĞLAM"/>
    <s v="MRS"/>
    <x v="1"/>
    <x v="0"/>
    <s v="19336520845"/>
    <s v="29/04/1985"/>
    <s v="90 539 032 86 50"/>
    <s v="2902812321"/>
    <s v="Green"/>
    <m/>
    <s v="Konak / İzmir"/>
  </r>
  <r>
    <x v="20"/>
    <s v="SAĞLAM"/>
    <s v="MRS"/>
    <x v="1"/>
    <x v="0"/>
    <s v="35258795023"/>
    <d v="2000-12-07T00:00:00"/>
    <s v="90 539 032 86 50"/>
    <s v="6095079153"/>
    <s v="Green"/>
    <m/>
    <s v="Konak / İzmir"/>
  </r>
  <r>
    <x v="21"/>
    <s v="ŞAHİN"/>
    <s v="MR"/>
    <x v="1"/>
    <x v="0"/>
    <s v="66075386306"/>
    <s v="30/01/1973"/>
    <s v="90 537 923 11 58"/>
    <s v="1033938914"/>
    <s v="Green"/>
    <m/>
    <s v="Nilüfer / Bursa"/>
  </r>
  <r>
    <x v="22"/>
    <s v="ŞAHİN"/>
    <s v="MRS"/>
    <x v="1"/>
    <x v="0"/>
    <s v="83270996572"/>
    <s v="25/03/1992"/>
    <s v="90 537 923 11 58"/>
    <s v="4692095352"/>
    <s v="Green"/>
    <m/>
    <s v="Nilüfer / Bursa"/>
  </r>
  <r>
    <x v="23"/>
    <s v="TAŞÇI"/>
    <s v="MRS"/>
    <x v="1"/>
    <x v="0"/>
    <s v="35023053380"/>
    <s v="28/07/1975"/>
    <s v="90 531 063 67 59"/>
    <s v="7593251855"/>
    <s v="Green"/>
    <m/>
    <s v="Muratpaşa / Antalya"/>
  </r>
  <r>
    <x v="24"/>
    <s v="TAŞÇI"/>
    <s v="MR"/>
    <x v="1"/>
    <x v="0"/>
    <s v="60193785659"/>
    <s v="26/07/1972"/>
    <s v="90 531 063 67 59"/>
    <s v="9739821082"/>
    <s v="Red"/>
    <s v="171684986"/>
    <s v="Muratpaşa / Antalya"/>
  </r>
  <r>
    <x v="25"/>
    <s v="TEKİN"/>
    <s v="MR"/>
    <x v="2"/>
    <x v="0"/>
    <s v="59675761549"/>
    <s v="25/10/2002"/>
    <s v="90 536 673 97 11"/>
    <s v="8503472483"/>
    <s v="Red"/>
    <s v="332312180"/>
    <s v="Tepebaşı / Eskişehir"/>
  </r>
  <r>
    <x v="26"/>
    <s v="TEKİN"/>
    <s v="MRS"/>
    <x v="2"/>
    <x v="0"/>
    <s v="38948876703"/>
    <d v="1973-05-02T00:00:00"/>
    <s v="90 536 673 97 11"/>
    <s v="2078155949"/>
    <s v="Green"/>
    <m/>
    <s v="Tepebaşı / Eskişehir"/>
  </r>
  <r>
    <x v="27"/>
    <s v="TEKİN"/>
    <s v="CHD"/>
    <x v="2"/>
    <x v="1"/>
    <s v="11214007284"/>
    <d v="2019-09-04T00:00:00"/>
    <s v="90 536 673 97 11"/>
    <s v="6542104515"/>
    <s v="Green"/>
    <m/>
    <s v="Tepebaşı / Eskişehir"/>
  </r>
  <r>
    <x v="28"/>
    <s v="TOPRAK"/>
    <s v="MRS"/>
    <x v="2"/>
    <x v="0"/>
    <s v="50539718138"/>
    <s v="14/07/1968"/>
    <s v="90 531 845 40 91"/>
    <s v="5996815913"/>
    <s v="Green"/>
    <m/>
    <s v="Atakum / Samsun"/>
  </r>
  <r>
    <x v="29"/>
    <s v="TOPRAK"/>
    <s v="MR"/>
    <x v="2"/>
    <x v="0"/>
    <s v="96659630833"/>
    <d v="1972-12-01T00:00:00"/>
    <s v="90 531 845 40 91"/>
    <s v="5883814424"/>
    <s v="Red"/>
    <s v="800105368"/>
    <s v="Atakum / Samsun"/>
  </r>
  <r>
    <x v="30"/>
    <s v="TOPRAK"/>
    <s v="CHD"/>
    <x v="2"/>
    <x v="1"/>
    <s v="53472859173"/>
    <d v="2013-04-07T00:00:00"/>
    <s v="90 531 845 40 91"/>
    <s v="5197834834"/>
    <s v="Green"/>
    <m/>
    <s v="Atakum / Samsun"/>
  </r>
  <r>
    <x v="31"/>
    <s v="UÇAR"/>
    <s v="MR"/>
    <x v="2"/>
    <x v="0"/>
    <s v="96324748163"/>
    <s v="17/05/2003"/>
    <s v="90 555 030 41 40"/>
    <s v="7582889597"/>
    <s v="Red"/>
    <s v="599466654"/>
    <s v="Selçuklu / Konya"/>
  </r>
  <r>
    <x v="32"/>
    <s v="UÇAR"/>
    <s v="MRS"/>
    <x v="2"/>
    <x v="0"/>
    <s v="38565701691"/>
    <s v="20/04/1955"/>
    <s v="90 555 030 41 40"/>
    <s v="2793762565"/>
    <s v="Green"/>
    <m/>
    <s v="Selçuklu / Konya"/>
  </r>
  <r>
    <x v="33"/>
    <s v="UÇAR"/>
    <s v="CHD"/>
    <x v="2"/>
    <x v="2"/>
    <s v="35685341735"/>
    <d v="2023-12-06T00:00:00"/>
    <s v="90 555 030 41 40"/>
    <s v="4337132533"/>
    <s v="Green"/>
    <m/>
    <s v="Selçuklu / Konya"/>
  </r>
  <r>
    <x v="34"/>
    <s v="YILDIRIM"/>
    <s v="MRS"/>
    <x v="2"/>
    <x v="0"/>
    <s v="72317941815"/>
    <s v="25/10/1970"/>
    <s v="90 544 247 67 78"/>
    <s v="3267584148"/>
    <s v="Green"/>
    <m/>
    <s v="Ortahisar / Trabzon"/>
  </r>
  <r>
    <x v="35"/>
    <s v="YILDIRIM"/>
    <s v="CHD"/>
    <x v="2"/>
    <x v="1"/>
    <s v="48483039144"/>
    <s v="14/04/2018"/>
    <s v="90 544 247 67 78"/>
    <s v="1386238280"/>
    <s v="Red"/>
    <s v="534975294"/>
    <s v="Ortahisar / Trabzon"/>
  </r>
  <r>
    <x v="36"/>
    <s v="YILDIRIM"/>
    <s v="CHD"/>
    <x v="2"/>
    <x v="1"/>
    <s v="59532183962"/>
    <s v="24/11/2019"/>
    <s v="90 544 247 67 78"/>
    <s v="9287571311"/>
    <s v="Red"/>
    <s v="673514359"/>
    <s v="Ortahisar / Trabzon"/>
  </r>
  <r>
    <x v="37"/>
    <s v="AKSOY"/>
    <s v="MR"/>
    <x v="2"/>
    <x v="0"/>
    <s v="12411423088"/>
    <d v="1952-04-10T00:00:00"/>
    <s v="90 534 725 94 95"/>
    <s v="4280260142"/>
    <s v="Red"/>
    <s v="416968721"/>
    <s v="Şehitkamil / Gaziantep"/>
  </r>
  <r>
    <x v="38"/>
    <s v="AKSOY"/>
    <s v="MRS"/>
    <x v="2"/>
    <x v="0"/>
    <s v="22643184360"/>
    <s v="16/06/1952"/>
    <s v="90 534 725 94 95"/>
    <s v="6580601378"/>
    <s v="Green"/>
    <m/>
    <s v="Şehitkamil / Gaziantep"/>
  </r>
  <r>
    <x v="39"/>
    <s v="AKSOY"/>
    <s v="CHD"/>
    <x v="2"/>
    <x v="2"/>
    <s v="84555817381"/>
    <s v="23/04/2023"/>
    <s v="90 534 725 94 95"/>
    <s v="1141265247"/>
    <s v="Green"/>
    <m/>
    <s v="Şehitkamil / Gaziantep"/>
  </r>
  <r>
    <x v="40"/>
    <s v="AYDIN"/>
    <s v="MR"/>
    <x v="3"/>
    <x v="0"/>
    <s v="18698346056"/>
    <s v="15/02/1982"/>
    <s v="90 554 607 60 90"/>
    <s v="5997897497"/>
    <s v="Green"/>
    <m/>
    <s v="Kadıköy / İstanbul"/>
  </r>
  <r>
    <x v="41"/>
    <s v="AYDIN"/>
    <s v="MRS"/>
    <x v="3"/>
    <x v="0"/>
    <s v="71541964827"/>
    <d v="2006-09-08T00:00:00"/>
    <s v="90 554 607 60 90"/>
    <s v="1769010561"/>
    <s v="Green"/>
    <m/>
    <s v="Kadıköy / İstanbul"/>
  </r>
  <r>
    <x v="42"/>
    <s v="BAYRAKTAR"/>
    <s v="MRS"/>
    <x v="3"/>
    <x v="0"/>
    <s v="98320991356"/>
    <d v="1983-07-02T00:00:00"/>
    <s v="90 555 944 11 31"/>
    <s v="3824839265"/>
    <s v="Green"/>
    <m/>
    <s v="Çankaya / Ankara"/>
  </r>
  <r>
    <x v="43"/>
    <s v="BAYRAKTAR"/>
    <s v="CHD"/>
    <x v="3"/>
    <x v="1"/>
    <s v="16886059928"/>
    <s v="29/05/2014"/>
    <s v="90 555 944 11 31"/>
    <s v="8848086334"/>
    <s v="Red"/>
    <s v="723415303"/>
    <s v="Çankaya / Ankara"/>
  </r>
  <r>
    <x v="44"/>
    <s v="ÇELİK"/>
    <s v="MR"/>
    <x v="3"/>
    <x v="0"/>
    <s v="11775451903"/>
    <s v="16/08/1959"/>
    <s v="90 535 364 53 29"/>
    <s v="3692095731"/>
    <s v="Red"/>
    <s v="733302405"/>
    <s v="Konak / İzmir"/>
  </r>
  <r>
    <x v="45"/>
    <s v="ÇELİK"/>
    <s v="CHD"/>
    <x v="3"/>
    <x v="2"/>
    <s v="29385342562"/>
    <d v="2022-08-08T00:00:00"/>
    <s v="90 535 364 53 29"/>
    <s v="9060328734"/>
    <s v="Green"/>
    <m/>
    <s v="Konak / İzmir"/>
  </r>
  <r>
    <x v="46"/>
    <s v="DEMİRCİ"/>
    <s v="CHD"/>
    <x v="3"/>
    <x v="1"/>
    <s v="59874482277"/>
    <s v="26/09/2014"/>
    <s v="90 533 931 62 46"/>
    <s v="4075066402"/>
    <s v="Green"/>
    <m/>
    <s v="Nilüfer / Bursa"/>
  </r>
  <r>
    <x v="47"/>
    <s v="DEMİRCİ"/>
    <s v="CHD"/>
    <x v="3"/>
    <x v="1"/>
    <s v="48656230603"/>
    <d v="2013-04-10T00:00:00"/>
    <s v="90 533 931 62 46"/>
    <s v="2652957030"/>
    <s v="Red"/>
    <s v="916474105"/>
    <s v="Nilüfer / Bur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9BB6D-BB7D-4C0F-BB27-0BF576DB3803}" name="PivotTable2" cacheId="1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:B6" firstHeaderRow="1" firstDataRow="1" firstDataCol="1"/>
  <pivotFields count="12">
    <pivotField dataField="1" showAll="0">
      <items count="49">
        <item x="0"/>
        <item x="43"/>
        <item x="36"/>
        <item x="46"/>
        <item x="1"/>
        <item x="3"/>
        <item x="2"/>
        <item x="4"/>
        <item x="6"/>
        <item x="38"/>
        <item x="5"/>
        <item x="7"/>
        <item x="9"/>
        <item x="44"/>
        <item x="41"/>
        <item x="8"/>
        <item x="12"/>
        <item x="10"/>
        <item x="13"/>
        <item x="11"/>
        <item x="15"/>
        <item x="14"/>
        <item x="17"/>
        <item x="16"/>
        <item x="19"/>
        <item x="18"/>
        <item x="20"/>
        <item x="21"/>
        <item x="42"/>
        <item x="22"/>
        <item x="24"/>
        <item x="45"/>
        <item x="23"/>
        <item x="47"/>
        <item x="25"/>
        <item x="27"/>
        <item x="26"/>
        <item x="29"/>
        <item x="28"/>
        <item x="31"/>
        <item x="30"/>
        <item x="35"/>
        <item x="32"/>
        <item x="37"/>
        <item x="39"/>
        <item x="40"/>
        <item x="33"/>
        <item x="34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Yolcu Adı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2B28-2075-47B8-A5A3-03253C21F203}">
  <dimension ref="A1:L49"/>
  <sheetViews>
    <sheetView workbookViewId="0">
      <selection activeCell="B21" sqref="B21"/>
    </sheetView>
  </sheetViews>
  <sheetFormatPr defaultRowHeight="14.6"/>
  <cols>
    <col min="1" max="1" width="18.765625" customWidth="1"/>
    <col min="2" max="2" width="15.765625" customWidth="1"/>
    <col min="3" max="3" width="13.23046875" customWidth="1"/>
    <col min="4" max="4" width="13.3046875" customWidth="1"/>
    <col min="5" max="5" width="14.3828125" customWidth="1"/>
    <col min="6" max="6" width="15.765625" customWidth="1"/>
    <col min="7" max="7" width="14" customWidth="1"/>
    <col min="8" max="8" width="11.07421875" customWidth="1"/>
    <col min="9" max="9" width="14" customWidth="1"/>
    <col min="10" max="10" width="13.921875" customWidth="1"/>
    <col min="11" max="11" width="13.07421875" customWidth="1"/>
    <col min="12" max="12" width="18.15234375" bestFit="1" customWidth="1"/>
  </cols>
  <sheetData>
    <row r="1" spans="1:12" ht="28.75" thickBot="1">
      <c r="A1" s="24" t="s">
        <v>0</v>
      </c>
      <c r="B1" s="25" t="s">
        <v>1</v>
      </c>
      <c r="C1" s="25" t="s">
        <v>2</v>
      </c>
      <c r="D1" s="25" t="s">
        <v>16</v>
      </c>
      <c r="E1" s="25" t="s">
        <v>20</v>
      </c>
      <c r="F1" s="25" t="s">
        <v>3</v>
      </c>
      <c r="G1" s="25" t="s">
        <v>4</v>
      </c>
      <c r="H1" s="25" t="s">
        <v>5</v>
      </c>
      <c r="I1" s="25" t="s">
        <v>10</v>
      </c>
      <c r="J1" s="25" t="s">
        <v>11</v>
      </c>
      <c r="K1" s="25" t="s">
        <v>12</v>
      </c>
      <c r="L1" s="26" t="s">
        <v>15</v>
      </c>
    </row>
    <row r="2" spans="1:12" ht="15" thickBot="1">
      <c r="A2" s="4" t="s">
        <v>53</v>
      </c>
      <c r="B2" s="4" t="s">
        <v>54</v>
      </c>
      <c r="C2" s="5" t="s">
        <v>6</v>
      </c>
      <c r="D2" s="5" t="s">
        <v>17</v>
      </c>
      <c r="E2" s="5" t="s">
        <v>21</v>
      </c>
      <c r="F2" s="6" t="s">
        <v>55</v>
      </c>
      <c r="G2" s="7">
        <v>33063</v>
      </c>
      <c r="H2" s="6" t="s">
        <v>56</v>
      </c>
      <c r="I2" s="6" t="s">
        <v>57</v>
      </c>
      <c r="J2" s="6" t="s">
        <v>13</v>
      </c>
      <c r="K2" s="6" t="s">
        <v>58</v>
      </c>
      <c r="L2" s="8" t="s">
        <v>59</v>
      </c>
    </row>
    <row r="3" spans="1:12" ht="15" thickBot="1">
      <c r="A3" s="9" t="s">
        <v>60</v>
      </c>
      <c r="B3" s="9" t="s">
        <v>61</v>
      </c>
      <c r="C3" s="10" t="s">
        <v>7</v>
      </c>
      <c r="D3" s="10" t="s">
        <v>17</v>
      </c>
      <c r="E3" s="10" t="s">
        <v>21</v>
      </c>
      <c r="F3" s="11" t="s">
        <v>62</v>
      </c>
      <c r="G3" s="12" t="s">
        <v>63</v>
      </c>
      <c r="H3" s="11" t="s">
        <v>64</v>
      </c>
      <c r="I3" s="11" t="s">
        <v>65</v>
      </c>
      <c r="J3" s="11" t="s">
        <v>13</v>
      </c>
      <c r="K3" s="11" t="s">
        <v>66</v>
      </c>
      <c r="L3" s="13" t="s">
        <v>67</v>
      </c>
    </row>
    <row r="4" spans="1:12" ht="15" thickBot="1">
      <c r="A4" s="14" t="s">
        <v>68</v>
      </c>
      <c r="B4" s="14" t="s">
        <v>69</v>
      </c>
      <c r="C4" s="15" t="s">
        <v>6</v>
      </c>
      <c r="D4" s="15" t="s">
        <v>17</v>
      </c>
      <c r="E4" s="15" t="s">
        <v>21</v>
      </c>
      <c r="F4" s="16" t="s">
        <v>70</v>
      </c>
      <c r="G4" s="17" t="s">
        <v>71</v>
      </c>
      <c r="H4" s="16" t="s">
        <v>72</v>
      </c>
      <c r="I4" s="16" t="s">
        <v>73</v>
      </c>
      <c r="J4" s="16" t="s">
        <v>13</v>
      </c>
      <c r="K4" s="16" t="s">
        <v>74</v>
      </c>
      <c r="L4" s="18" t="s">
        <v>75</v>
      </c>
    </row>
    <row r="5" spans="1:12" ht="15" thickBot="1">
      <c r="A5" s="9" t="s">
        <v>76</v>
      </c>
      <c r="B5" s="9" t="s">
        <v>77</v>
      </c>
      <c r="C5" s="10" t="s">
        <v>7</v>
      </c>
      <c r="D5" s="10" t="s">
        <v>17</v>
      </c>
      <c r="E5" s="10" t="s">
        <v>21</v>
      </c>
      <c r="F5" s="11" t="s">
        <v>78</v>
      </c>
      <c r="G5" s="12" t="s">
        <v>79</v>
      </c>
      <c r="H5" s="11" t="s">
        <v>80</v>
      </c>
      <c r="I5" s="11" t="s">
        <v>81</v>
      </c>
      <c r="J5" s="11" t="s">
        <v>14</v>
      </c>
      <c r="K5" s="11"/>
      <c r="L5" s="13" t="s">
        <v>82</v>
      </c>
    </row>
    <row r="6" spans="1:12" ht="15" thickBot="1">
      <c r="A6" s="14" t="s">
        <v>83</v>
      </c>
      <c r="B6" s="14" t="s">
        <v>84</v>
      </c>
      <c r="C6" s="15" t="s">
        <v>6</v>
      </c>
      <c r="D6" s="15" t="s">
        <v>17</v>
      </c>
      <c r="E6" s="15" t="s">
        <v>21</v>
      </c>
      <c r="F6" s="16" t="s">
        <v>85</v>
      </c>
      <c r="G6" s="17" t="s">
        <v>86</v>
      </c>
      <c r="H6" s="16" t="s">
        <v>87</v>
      </c>
      <c r="I6" s="16" t="s">
        <v>88</v>
      </c>
      <c r="J6" s="16" t="s">
        <v>14</v>
      </c>
      <c r="K6" s="16"/>
      <c r="L6" s="18" t="s">
        <v>89</v>
      </c>
    </row>
    <row r="7" spans="1:12">
      <c r="A7" s="9" t="s">
        <v>90</v>
      </c>
      <c r="B7" s="9" t="s">
        <v>91</v>
      </c>
      <c r="C7" s="10" t="s">
        <v>6</v>
      </c>
      <c r="D7" s="10" t="s">
        <v>18</v>
      </c>
      <c r="E7" s="10" t="s">
        <v>21</v>
      </c>
      <c r="F7" s="11" t="s">
        <v>92</v>
      </c>
      <c r="G7" s="12" t="s">
        <v>93</v>
      </c>
      <c r="H7" s="11" t="s">
        <v>94</v>
      </c>
      <c r="I7" s="11" t="s">
        <v>95</v>
      </c>
      <c r="J7" s="11" t="s">
        <v>13</v>
      </c>
      <c r="K7" s="11" t="s">
        <v>96</v>
      </c>
      <c r="L7" s="13" t="s">
        <v>97</v>
      </c>
    </row>
    <row r="8" spans="1:12" ht="15" thickBot="1">
      <c r="A8" s="19" t="s">
        <v>98</v>
      </c>
      <c r="B8" s="19" t="s">
        <v>91</v>
      </c>
      <c r="C8" s="20" t="s">
        <v>7</v>
      </c>
      <c r="D8" s="20" t="s">
        <v>18</v>
      </c>
      <c r="E8" s="20" t="s">
        <v>21</v>
      </c>
      <c r="F8" s="21" t="s">
        <v>99</v>
      </c>
      <c r="G8" s="22">
        <v>26980</v>
      </c>
      <c r="H8" s="21" t="s">
        <v>94</v>
      </c>
      <c r="I8" s="21" t="s">
        <v>100</v>
      </c>
      <c r="J8" s="21" t="s">
        <v>14</v>
      </c>
      <c r="K8" s="21"/>
      <c r="L8" s="23" t="s">
        <v>97</v>
      </c>
    </row>
    <row r="9" spans="1:12">
      <c r="A9" s="14" t="s">
        <v>101</v>
      </c>
      <c r="B9" s="14" t="s">
        <v>102</v>
      </c>
      <c r="C9" s="15" t="s">
        <v>7</v>
      </c>
      <c r="D9" s="15" t="s">
        <v>18</v>
      </c>
      <c r="E9" s="15" t="s">
        <v>21</v>
      </c>
      <c r="F9" s="16" t="s">
        <v>103</v>
      </c>
      <c r="G9" s="17" t="s">
        <v>104</v>
      </c>
      <c r="H9" s="16" t="s">
        <v>105</v>
      </c>
      <c r="I9" s="16" t="s">
        <v>106</v>
      </c>
      <c r="J9" s="16" t="s">
        <v>14</v>
      </c>
      <c r="K9" s="16"/>
      <c r="L9" s="18" t="s">
        <v>107</v>
      </c>
    </row>
    <row r="10" spans="1:12" ht="15" thickBot="1">
      <c r="A10" s="4" t="s">
        <v>108</v>
      </c>
      <c r="B10" s="4" t="s">
        <v>102</v>
      </c>
      <c r="C10" s="5" t="s">
        <v>6</v>
      </c>
      <c r="D10" s="5" t="s">
        <v>18</v>
      </c>
      <c r="E10" s="5" t="s">
        <v>21</v>
      </c>
      <c r="F10" s="6" t="s">
        <v>109</v>
      </c>
      <c r="G10" s="7">
        <v>26701</v>
      </c>
      <c r="H10" s="6" t="s">
        <v>105</v>
      </c>
      <c r="I10" s="6" t="s">
        <v>110</v>
      </c>
      <c r="J10" s="6" t="s">
        <v>13</v>
      </c>
      <c r="K10" s="6" t="s">
        <v>111</v>
      </c>
      <c r="L10" s="8" t="s">
        <v>107</v>
      </c>
    </row>
    <row r="11" spans="1:12">
      <c r="A11" s="9" t="s">
        <v>112</v>
      </c>
      <c r="B11" s="9" t="s">
        <v>113</v>
      </c>
      <c r="C11" s="10" t="s">
        <v>7</v>
      </c>
      <c r="D11" s="10" t="s">
        <v>18</v>
      </c>
      <c r="E11" s="10" t="s">
        <v>21</v>
      </c>
      <c r="F11" s="11" t="s">
        <v>114</v>
      </c>
      <c r="G11" s="12">
        <v>20374</v>
      </c>
      <c r="H11" s="11" t="s">
        <v>115</v>
      </c>
      <c r="I11" s="11" t="s">
        <v>116</v>
      </c>
      <c r="J11" s="11" t="s">
        <v>14</v>
      </c>
      <c r="K11" s="11"/>
      <c r="L11" s="13" t="s">
        <v>117</v>
      </c>
    </row>
    <row r="12" spans="1:12" ht="15" thickBot="1">
      <c r="A12" s="19" t="s">
        <v>118</v>
      </c>
      <c r="B12" s="19" t="s">
        <v>113</v>
      </c>
      <c r="C12" s="20" t="s">
        <v>8</v>
      </c>
      <c r="D12" s="20" t="s">
        <v>18</v>
      </c>
      <c r="E12" s="20" t="s">
        <v>22</v>
      </c>
      <c r="F12" s="21" t="s">
        <v>119</v>
      </c>
      <c r="G12" s="22" t="s">
        <v>120</v>
      </c>
      <c r="H12" s="21" t="s">
        <v>115</v>
      </c>
      <c r="I12" s="21" t="s">
        <v>121</v>
      </c>
      <c r="J12" s="21" t="s">
        <v>14</v>
      </c>
      <c r="K12" s="21"/>
      <c r="L12" s="23" t="s">
        <v>117</v>
      </c>
    </row>
    <row r="13" spans="1:12">
      <c r="A13" s="14" t="s">
        <v>122</v>
      </c>
      <c r="B13" s="14" t="s">
        <v>123</v>
      </c>
      <c r="C13" s="15" t="s">
        <v>6</v>
      </c>
      <c r="D13" s="15" t="s">
        <v>18</v>
      </c>
      <c r="E13" s="15" t="s">
        <v>21</v>
      </c>
      <c r="F13" s="16" t="s">
        <v>124</v>
      </c>
      <c r="G13" s="17" t="s">
        <v>125</v>
      </c>
      <c r="H13" s="16" t="s">
        <v>126</v>
      </c>
      <c r="I13" s="16" t="s">
        <v>127</v>
      </c>
      <c r="J13" s="16" t="s">
        <v>14</v>
      </c>
      <c r="K13" s="16"/>
      <c r="L13" s="18" t="s">
        <v>128</v>
      </c>
    </row>
    <row r="14" spans="1:12" ht="15" thickBot="1">
      <c r="A14" s="4" t="s">
        <v>129</v>
      </c>
      <c r="B14" s="4" t="s">
        <v>123</v>
      </c>
      <c r="C14" s="5" t="s">
        <v>8</v>
      </c>
      <c r="D14" s="5" t="s">
        <v>18</v>
      </c>
      <c r="E14" s="5" t="s">
        <v>22</v>
      </c>
      <c r="F14" s="6" t="s">
        <v>130</v>
      </c>
      <c r="G14" s="7" t="s">
        <v>131</v>
      </c>
      <c r="H14" s="6" t="s">
        <v>126</v>
      </c>
      <c r="I14" s="6" t="s">
        <v>132</v>
      </c>
      <c r="J14" s="6" t="s">
        <v>13</v>
      </c>
      <c r="K14" s="6" t="s">
        <v>133</v>
      </c>
      <c r="L14" s="8" t="s">
        <v>128</v>
      </c>
    </row>
    <row r="15" spans="1:12">
      <c r="A15" s="9" t="s">
        <v>134</v>
      </c>
      <c r="B15" s="9" t="s">
        <v>135</v>
      </c>
      <c r="C15" s="10" t="s">
        <v>7</v>
      </c>
      <c r="D15" s="10" t="s">
        <v>18</v>
      </c>
      <c r="E15" s="10" t="s">
        <v>21</v>
      </c>
      <c r="F15" s="11" t="s">
        <v>136</v>
      </c>
      <c r="G15" s="12" t="s">
        <v>137</v>
      </c>
      <c r="H15" s="11" t="s">
        <v>138</v>
      </c>
      <c r="I15" s="11" t="s">
        <v>139</v>
      </c>
      <c r="J15" s="11" t="s">
        <v>14</v>
      </c>
      <c r="K15" s="11"/>
      <c r="L15" s="13" t="s">
        <v>140</v>
      </c>
    </row>
    <row r="16" spans="1:12" ht="15" thickBot="1">
      <c r="A16" s="19" t="s">
        <v>141</v>
      </c>
      <c r="B16" s="19" t="s">
        <v>135</v>
      </c>
      <c r="C16" s="20" t="s">
        <v>7</v>
      </c>
      <c r="D16" s="20" t="s">
        <v>18</v>
      </c>
      <c r="E16" s="20" t="s">
        <v>21</v>
      </c>
      <c r="F16" s="21" t="s">
        <v>142</v>
      </c>
      <c r="G16" s="22" t="s">
        <v>143</v>
      </c>
      <c r="H16" s="21" t="s">
        <v>138</v>
      </c>
      <c r="I16" s="21" t="s">
        <v>144</v>
      </c>
      <c r="J16" s="21" t="s">
        <v>13</v>
      </c>
      <c r="K16" s="21" t="s">
        <v>145</v>
      </c>
      <c r="L16" s="23" t="s">
        <v>140</v>
      </c>
    </row>
    <row r="17" spans="1:12">
      <c r="A17" s="14" t="s">
        <v>146</v>
      </c>
      <c r="B17" s="14" t="s">
        <v>147</v>
      </c>
      <c r="C17" s="15" t="s">
        <v>6</v>
      </c>
      <c r="D17" s="15" t="s">
        <v>18</v>
      </c>
      <c r="E17" s="15" t="s">
        <v>21</v>
      </c>
      <c r="F17" s="16" t="s">
        <v>148</v>
      </c>
      <c r="G17" s="17">
        <v>25851</v>
      </c>
      <c r="H17" s="16" t="s">
        <v>149</v>
      </c>
      <c r="I17" s="16" t="s">
        <v>150</v>
      </c>
      <c r="J17" s="16" t="s">
        <v>14</v>
      </c>
      <c r="K17" s="16"/>
      <c r="L17" s="18" t="s">
        <v>59</v>
      </c>
    </row>
    <row r="18" spans="1:12" ht="15" thickBot="1">
      <c r="A18" s="4" t="s">
        <v>151</v>
      </c>
      <c r="B18" s="4" t="s">
        <v>147</v>
      </c>
      <c r="C18" s="5" t="s">
        <v>7</v>
      </c>
      <c r="D18" s="5" t="s">
        <v>18</v>
      </c>
      <c r="E18" s="5" t="s">
        <v>21</v>
      </c>
      <c r="F18" s="6" t="s">
        <v>152</v>
      </c>
      <c r="G18" s="7">
        <v>27618</v>
      </c>
      <c r="H18" s="6" t="s">
        <v>149</v>
      </c>
      <c r="I18" s="6" t="s">
        <v>153</v>
      </c>
      <c r="J18" s="6" t="s">
        <v>14</v>
      </c>
      <c r="K18" s="6"/>
      <c r="L18" s="8" t="s">
        <v>59</v>
      </c>
    </row>
    <row r="19" spans="1:12">
      <c r="A19" s="9" t="s">
        <v>154</v>
      </c>
      <c r="B19" s="9" t="s">
        <v>155</v>
      </c>
      <c r="C19" s="10" t="s">
        <v>6</v>
      </c>
      <c r="D19" s="10" t="s">
        <v>18</v>
      </c>
      <c r="E19" s="10" t="s">
        <v>21</v>
      </c>
      <c r="F19" s="11" t="s">
        <v>156</v>
      </c>
      <c r="G19" s="12">
        <v>24902</v>
      </c>
      <c r="H19" s="11" t="s">
        <v>157</v>
      </c>
      <c r="I19" s="11" t="s">
        <v>158</v>
      </c>
      <c r="J19" s="11" t="s">
        <v>13</v>
      </c>
      <c r="K19" s="11" t="s">
        <v>159</v>
      </c>
      <c r="L19" s="13" t="s">
        <v>67</v>
      </c>
    </row>
    <row r="20" spans="1:12" ht="15" thickBot="1">
      <c r="A20" s="19" t="s">
        <v>160</v>
      </c>
      <c r="B20" s="19" t="s">
        <v>155</v>
      </c>
      <c r="C20" s="20" t="s">
        <v>6</v>
      </c>
      <c r="D20" s="20" t="s">
        <v>18</v>
      </c>
      <c r="E20" s="20" t="s">
        <v>21</v>
      </c>
      <c r="F20" s="21" t="s">
        <v>161</v>
      </c>
      <c r="G20" s="22" t="s">
        <v>162</v>
      </c>
      <c r="H20" s="21" t="s">
        <v>157</v>
      </c>
      <c r="I20" s="21" t="s">
        <v>163</v>
      </c>
      <c r="J20" s="21" t="s">
        <v>13</v>
      </c>
      <c r="K20" s="21" t="s">
        <v>164</v>
      </c>
      <c r="L20" s="23" t="s">
        <v>67</v>
      </c>
    </row>
    <row r="21" spans="1:12">
      <c r="A21" s="14" t="s">
        <v>165</v>
      </c>
      <c r="B21" s="14" t="s">
        <v>166</v>
      </c>
      <c r="C21" s="15" t="s">
        <v>7</v>
      </c>
      <c r="D21" s="15" t="s">
        <v>18</v>
      </c>
      <c r="E21" s="15" t="s">
        <v>21</v>
      </c>
      <c r="F21" s="16" t="s">
        <v>167</v>
      </c>
      <c r="G21" s="17" t="s">
        <v>168</v>
      </c>
      <c r="H21" s="16" t="s">
        <v>169</v>
      </c>
      <c r="I21" s="16" t="s">
        <v>170</v>
      </c>
      <c r="J21" s="16" t="s">
        <v>14</v>
      </c>
      <c r="K21" s="16"/>
      <c r="L21" s="18" t="s">
        <v>75</v>
      </c>
    </row>
    <row r="22" spans="1:12" ht="15" thickBot="1">
      <c r="A22" s="4" t="s">
        <v>171</v>
      </c>
      <c r="B22" s="4" t="s">
        <v>166</v>
      </c>
      <c r="C22" s="5" t="s">
        <v>7</v>
      </c>
      <c r="D22" s="5" t="s">
        <v>18</v>
      </c>
      <c r="E22" s="5" t="s">
        <v>21</v>
      </c>
      <c r="F22" s="6" t="s">
        <v>172</v>
      </c>
      <c r="G22" s="7">
        <v>36867</v>
      </c>
      <c r="H22" s="6" t="s">
        <v>169</v>
      </c>
      <c r="I22" s="6" t="s">
        <v>173</v>
      </c>
      <c r="J22" s="6" t="s">
        <v>14</v>
      </c>
      <c r="K22" s="6"/>
      <c r="L22" s="8" t="s">
        <v>75</v>
      </c>
    </row>
    <row r="23" spans="1:12">
      <c r="A23" s="9" t="s">
        <v>174</v>
      </c>
      <c r="B23" s="9" t="s">
        <v>175</v>
      </c>
      <c r="C23" s="10" t="s">
        <v>6</v>
      </c>
      <c r="D23" s="10" t="s">
        <v>18</v>
      </c>
      <c r="E23" s="10" t="s">
        <v>21</v>
      </c>
      <c r="F23" s="11" t="s">
        <v>176</v>
      </c>
      <c r="G23" s="12" t="s">
        <v>177</v>
      </c>
      <c r="H23" s="11" t="s">
        <v>178</v>
      </c>
      <c r="I23" s="11" t="s">
        <v>179</v>
      </c>
      <c r="J23" s="11" t="s">
        <v>14</v>
      </c>
      <c r="K23" s="11"/>
      <c r="L23" s="13" t="s">
        <v>82</v>
      </c>
    </row>
    <row r="24" spans="1:12" ht="15" thickBot="1">
      <c r="A24" s="19" t="s">
        <v>180</v>
      </c>
      <c r="B24" s="19" t="s">
        <v>175</v>
      </c>
      <c r="C24" s="20" t="s">
        <v>7</v>
      </c>
      <c r="D24" s="20" t="s">
        <v>18</v>
      </c>
      <c r="E24" s="20" t="s">
        <v>21</v>
      </c>
      <c r="F24" s="21" t="s">
        <v>181</v>
      </c>
      <c r="G24" s="22" t="s">
        <v>182</v>
      </c>
      <c r="H24" s="21" t="s">
        <v>178</v>
      </c>
      <c r="I24" s="21" t="s">
        <v>183</v>
      </c>
      <c r="J24" s="21" t="s">
        <v>14</v>
      </c>
      <c r="K24" s="21"/>
      <c r="L24" s="23" t="s">
        <v>82</v>
      </c>
    </row>
    <row r="25" spans="1:12">
      <c r="A25" s="14" t="s">
        <v>184</v>
      </c>
      <c r="B25" s="14" t="s">
        <v>185</v>
      </c>
      <c r="C25" s="15" t="s">
        <v>7</v>
      </c>
      <c r="D25" s="15" t="s">
        <v>18</v>
      </c>
      <c r="E25" s="15" t="s">
        <v>21</v>
      </c>
      <c r="F25" s="16" t="s">
        <v>186</v>
      </c>
      <c r="G25" s="17" t="s">
        <v>187</v>
      </c>
      <c r="H25" s="16" t="s">
        <v>188</v>
      </c>
      <c r="I25" s="16" t="s">
        <v>189</v>
      </c>
      <c r="J25" s="16" t="s">
        <v>14</v>
      </c>
      <c r="K25" s="16"/>
      <c r="L25" s="18" t="s">
        <v>89</v>
      </c>
    </row>
    <row r="26" spans="1:12" ht="15" thickBot="1">
      <c r="A26" s="4" t="s">
        <v>190</v>
      </c>
      <c r="B26" s="4" t="s">
        <v>185</v>
      </c>
      <c r="C26" s="5" t="s">
        <v>6</v>
      </c>
      <c r="D26" s="5" t="s">
        <v>18</v>
      </c>
      <c r="E26" s="5" t="s">
        <v>21</v>
      </c>
      <c r="F26" s="6" t="s">
        <v>191</v>
      </c>
      <c r="G26" s="7" t="s">
        <v>192</v>
      </c>
      <c r="H26" s="6" t="s">
        <v>188</v>
      </c>
      <c r="I26" s="6" t="s">
        <v>193</v>
      </c>
      <c r="J26" s="6" t="s">
        <v>13</v>
      </c>
      <c r="K26" s="6" t="s">
        <v>194</v>
      </c>
      <c r="L26" s="8" t="s">
        <v>89</v>
      </c>
    </row>
    <row r="27" spans="1:12">
      <c r="A27" s="9" t="s">
        <v>195</v>
      </c>
      <c r="B27" s="9" t="s">
        <v>196</v>
      </c>
      <c r="C27" s="10" t="s">
        <v>6</v>
      </c>
      <c r="D27" s="10" t="s">
        <v>19</v>
      </c>
      <c r="E27" s="10" t="s">
        <v>21</v>
      </c>
      <c r="F27" s="11" t="s">
        <v>197</v>
      </c>
      <c r="G27" s="12" t="s">
        <v>198</v>
      </c>
      <c r="H27" s="11" t="s">
        <v>199</v>
      </c>
      <c r="I27" s="11" t="s">
        <v>200</v>
      </c>
      <c r="J27" s="11" t="s">
        <v>13</v>
      </c>
      <c r="K27" s="11" t="s">
        <v>201</v>
      </c>
      <c r="L27" s="13" t="s">
        <v>97</v>
      </c>
    </row>
    <row r="28" spans="1:12">
      <c r="A28" s="19" t="s">
        <v>202</v>
      </c>
      <c r="B28" s="19" t="s">
        <v>196</v>
      </c>
      <c r="C28" s="20" t="s">
        <v>7</v>
      </c>
      <c r="D28" s="20" t="s">
        <v>19</v>
      </c>
      <c r="E28" s="20" t="s">
        <v>21</v>
      </c>
      <c r="F28" s="21" t="s">
        <v>203</v>
      </c>
      <c r="G28" s="22">
        <v>26786</v>
      </c>
      <c r="H28" s="21" t="s">
        <v>199</v>
      </c>
      <c r="I28" s="21" t="s">
        <v>204</v>
      </c>
      <c r="J28" s="21" t="s">
        <v>14</v>
      </c>
      <c r="K28" s="21"/>
      <c r="L28" s="23" t="s">
        <v>97</v>
      </c>
    </row>
    <row r="29" spans="1:12" ht="15" thickBot="1">
      <c r="A29" s="19" t="s">
        <v>205</v>
      </c>
      <c r="B29" s="19" t="s">
        <v>196</v>
      </c>
      <c r="C29" s="20" t="s">
        <v>8</v>
      </c>
      <c r="D29" s="20" t="s">
        <v>19</v>
      </c>
      <c r="E29" s="20" t="s">
        <v>22</v>
      </c>
      <c r="F29" s="21" t="s">
        <v>206</v>
      </c>
      <c r="G29" s="22">
        <v>43712</v>
      </c>
      <c r="H29" s="21" t="s">
        <v>199</v>
      </c>
      <c r="I29" s="21" t="s">
        <v>207</v>
      </c>
      <c r="J29" s="21" t="s">
        <v>14</v>
      </c>
      <c r="K29" s="21"/>
      <c r="L29" s="23" t="s">
        <v>97</v>
      </c>
    </row>
    <row r="30" spans="1:12">
      <c r="A30" s="14" t="s">
        <v>208</v>
      </c>
      <c r="B30" s="14" t="s">
        <v>209</v>
      </c>
      <c r="C30" s="15" t="s">
        <v>7</v>
      </c>
      <c r="D30" s="15" t="s">
        <v>19</v>
      </c>
      <c r="E30" s="15" t="s">
        <v>21</v>
      </c>
      <c r="F30" s="16" t="s">
        <v>210</v>
      </c>
      <c r="G30" s="17" t="s">
        <v>211</v>
      </c>
      <c r="H30" s="16" t="s">
        <v>212</v>
      </c>
      <c r="I30" s="16" t="s">
        <v>213</v>
      </c>
      <c r="J30" s="16" t="s">
        <v>14</v>
      </c>
      <c r="K30" s="16"/>
      <c r="L30" s="18" t="s">
        <v>107</v>
      </c>
    </row>
    <row r="31" spans="1:12">
      <c r="A31" s="4" t="s">
        <v>214</v>
      </c>
      <c r="B31" s="4" t="s">
        <v>209</v>
      </c>
      <c r="C31" s="5" t="s">
        <v>6</v>
      </c>
      <c r="D31" s="5" t="s">
        <v>19</v>
      </c>
      <c r="E31" s="5" t="s">
        <v>21</v>
      </c>
      <c r="F31" s="6" t="s">
        <v>215</v>
      </c>
      <c r="G31" s="7">
        <v>26634</v>
      </c>
      <c r="H31" s="6" t="s">
        <v>212</v>
      </c>
      <c r="I31" s="6" t="s">
        <v>216</v>
      </c>
      <c r="J31" s="6" t="s">
        <v>13</v>
      </c>
      <c r="K31" s="6" t="s">
        <v>217</v>
      </c>
      <c r="L31" s="8" t="s">
        <v>107</v>
      </c>
    </row>
    <row r="32" spans="1:12" ht="15" thickBot="1">
      <c r="A32" s="4" t="s">
        <v>218</v>
      </c>
      <c r="B32" s="4" t="s">
        <v>209</v>
      </c>
      <c r="C32" s="5" t="s">
        <v>8</v>
      </c>
      <c r="D32" s="5" t="s">
        <v>19</v>
      </c>
      <c r="E32" s="5" t="s">
        <v>22</v>
      </c>
      <c r="F32" s="6" t="s">
        <v>219</v>
      </c>
      <c r="G32" s="7">
        <v>41371</v>
      </c>
      <c r="H32" s="6" t="s">
        <v>212</v>
      </c>
      <c r="I32" s="6" t="s">
        <v>220</v>
      </c>
      <c r="J32" s="6" t="s">
        <v>14</v>
      </c>
      <c r="K32" s="6"/>
      <c r="L32" s="8" t="s">
        <v>107</v>
      </c>
    </row>
    <row r="33" spans="1:12">
      <c r="A33" s="9" t="s">
        <v>221</v>
      </c>
      <c r="B33" s="9" t="s">
        <v>222</v>
      </c>
      <c r="C33" s="10" t="s">
        <v>6</v>
      </c>
      <c r="D33" s="10" t="s">
        <v>19</v>
      </c>
      <c r="E33" s="10" t="s">
        <v>21</v>
      </c>
      <c r="F33" s="11" t="s">
        <v>223</v>
      </c>
      <c r="G33" s="12" t="s">
        <v>224</v>
      </c>
      <c r="H33" s="11" t="s">
        <v>225</v>
      </c>
      <c r="I33" s="11" t="s">
        <v>226</v>
      </c>
      <c r="J33" s="11" t="s">
        <v>13</v>
      </c>
      <c r="K33" s="11" t="s">
        <v>227</v>
      </c>
      <c r="L33" s="13" t="s">
        <v>117</v>
      </c>
    </row>
    <row r="34" spans="1:12">
      <c r="A34" s="19" t="s">
        <v>228</v>
      </c>
      <c r="B34" s="19" t="s">
        <v>222</v>
      </c>
      <c r="C34" s="20" t="s">
        <v>7</v>
      </c>
      <c r="D34" s="20" t="s">
        <v>19</v>
      </c>
      <c r="E34" s="20" t="s">
        <v>21</v>
      </c>
      <c r="F34" s="21" t="s">
        <v>229</v>
      </c>
      <c r="G34" s="22" t="s">
        <v>230</v>
      </c>
      <c r="H34" s="21" t="s">
        <v>225</v>
      </c>
      <c r="I34" s="21" t="s">
        <v>231</v>
      </c>
      <c r="J34" s="21" t="s">
        <v>14</v>
      </c>
      <c r="K34" s="21"/>
      <c r="L34" s="23" t="s">
        <v>117</v>
      </c>
    </row>
    <row r="35" spans="1:12" ht="15" thickBot="1">
      <c r="A35" s="19" t="s">
        <v>232</v>
      </c>
      <c r="B35" s="19" t="s">
        <v>222</v>
      </c>
      <c r="C35" s="20" t="s">
        <v>8</v>
      </c>
      <c r="D35" s="20" t="s">
        <v>19</v>
      </c>
      <c r="E35" s="20" t="s">
        <v>23</v>
      </c>
      <c r="F35" s="21" t="s">
        <v>233</v>
      </c>
      <c r="G35" s="22">
        <v>45266</v>
      </c>
      <c r="H35" s="21" t="s">
        <v>225</v>
      </c>
      <c r="I35" s="21" t="s">
        <v>234</v>
      </c>
      <c r="J35" s="21" t="s">
        <v>14</v>
      </c>
      <c r="K35" s="21"/>
      <c r="L35" s="23" t="s">
        <v>117</v>
      </c>
    </row>
    <row r="36" spans="1:12">
      <c r="A36" s="14" t="s">
        <v>235</v>
      </c>
      <c r="B36" s="14" t="s">
        <v>236</v>
      </c>
      <c r="C36" s="15" t="s">
        <v>7</v>
      </c>
      <c r="D36" s="15" t="s">
        <v>19</v>
      </c>
      <c r="E36" s="15" t="s">
        <v>21</v>
      </c>
      <c r="F36" s="16" t="s">
        <v>237</v>
      </c>
      <c r="G36" s="17" t="s">
        <v>238</v>
      </c>
      <c r="H36" s="16" t="s">
        <v>239</v>
      </c>
      <c r="I36" s="16" t="s">
        <v>240</v>
      </c>
      <c r="J36" s="16" t="s">
        <v>14</v>
      </c>
      <c r="K36" s="16"/>
      <c r="L36" s="18" t="s">
        <v>128</v>
      </c>
    </row>
    <row r="37" spans="1:12">
      <c r="A37" s="4" t="s">
        <v>241</v>
      </c>
      <c r="B37" s="4" t="s">
        <v>236</v>
      </c>
      <c r="C37" s="5" t="s">
        <v>8</v>
      </c>
      <c r="D37" s="5" t="s">
        <v>19</v>
      </c>
      <c r="E37" s="5" t="s">
        <v>22</v>
      </c>
      <c r="F37" s="6" t="s">
        <v>242</v>
      </c>
      <c r="G37" s="7" t="s">
        <v>243</v>
      </c>
      <c r="H37" s="6" t="s">
        <v>239</v>
      </c>
      <c r="I37" s="6" t="s">
        <v>244</v>
      </c>
      <c r="J37" s="6" t="s">
        <v>13</v>
      </c>
      <c r="K37" s="6" t="s">
        <v>245</v>
      </c>
      <c r="L37" s="8" t="s">
        <v>128</v>
      </c>
    </row>
    <row r="38" spans="1:12" ht="15" thickBot="1">
      <c r="A38" s="4" t="s">
        <v>246</v>
      </c>
      <c r="B38" s="4" t="s">
        <v>236</v>
      </c>
      <c r="C38" s="5" t="s">
        <v>8</v>
      </c>
      <c r="D38" s="5" t="s">
        <v>19</v>
      </c>
      <c r="E38" s="5" t="s">
        <v>22</v>
      </c>
      <c r="F38" s="6" t="s">
        <v>247</v>
      </c>
      <c r="G38" s="7" t="s">
        <v>120</v>
      </c>
      <c r="H38" s="6" t="s">
        <v>239</v>
      </c>
      <c r="I38" s="6" t="s">
        <v>248</v>
      </c>
      <c r="J38" s="6" t="s">
        <v>13</v>
      </c>
      <c r="K38" s="6" t="s">
        <v>249</v>
      </c>
      <c r="L38" s="8" t="s">
        <v>128</v>
      </c>
    </row>
    <row r="39" spans="1:12">
      <c r="A39" s="9" t="s">
        <v>250</v>
      </c>
      <c r="B39" s="9" t="s">
        <v>54</v>
      </c>
      <c r="C39" s="10" t="s">
        <v>6</v>
      </c>
      <c r="D39" s="10" t="s">
        <v>19</v>
      </c>
      <c r="E39" s="10" t="s">
        <v>21</v>
      </c>
      <c r="F39" s="11" t="s">
        <v>251</v>
      </c>
      <c r="G39" s="12">
        <v>19094</v>
      </c>
      <c r="H39" s="11" t="s">
        <v>252</v>
      </c>
      <c r="I39" s="11" t="s">
        <v>253</v>
      </c>
      <c r="J39" s="11" t="s">
        <v>13</v>
      </c>
      <c r="K39" s="11" t="s">
        <v>254</v>
      </c>
      <c r="L39" s="13" t="s">
        <v>140</v>
      </c>
    </row>
    <row r="40" spans="1:12">
      <c r="A40" s="19" t="s">
        <v>255</v>
      </c>
      <c r="B40" s="19" t="s">
        <v>54</v>
      </c>
      <c r="C40" s="20" t="s">
        <v>7</v>
      </c>
      <c r="D40" s="20" t="s">
        <v>19</v>
      </c>
      <c r="E40" s="20" t="s">
        <v>21</v>
      </c>
      <c r="F40" s="21" t="s">
        <v>256</v>
      </c>
      <c r="G40" s="22" t="s">
        <v>257</v>
      </c>
      <c r="H40" s="21" t="s">
        <v>252</v>
      </c>
      <c r="I40" s="21" t="s">
        <v>258</v>
      </c>
      <c r="J40" s="21" t="s">
        <v>14</v>
      </c>
      <c r="K40" s="21"/>
      <c r="L40" s="23" t="s">
        <v>140</v>
      </c>
    </row>
    <row r="41" spans="1:12" ht="15" thickBot="1">
      <c r="A41" s="19" t="s">
        <v>259</v>
      </c>
      <c r="B41" s="19" t="s">
        <v>54</v>
      </c>
      <c r="C41" s="20" t="s">
        <v>8</v>
      </c>
      <c r="D41" s="20" t="s">
        <v>19</v>
      </c>
      <c r="E41" s="20" t="s">
        <v>23</v>
      </c>
      <c r="F41" s="21" t="s">
        <v>260</v>
      </c>
      <c r="G41" s="22" t="s">
        <v>261</v>
      </c>
      <c r="H41" s="21" t="s">
        <v>252</v>
      </c>
      <c r="I41" s="21" t="s">
        <v>262</v>
      </c>
      <c r="J41" s="21" t="s">
        <v>14</v>
      </c>
      <c r="K41" s="21"/>
      <c r="L41" s="23" t="s">
        <v>140</v>
      </c>
    </row>
    <row r="42" spans="1:12">
      <c r="A42" s="14" t="s">
        <v>263</v>
      </c>
      <c r="B42" s="14" t="s">
        <v>61</v>
      </c>
      <c r="C42" s="15" t="s">
        <v>6</v>
      </c>
      <c r="D42" s="15" t="s">
        <v>24</v>
      </c>
      <c r="E42" s="15" t="s">
        <v>21</v>
      </c>
      <c r="F42" s="16" t="s">
        <v>264</v>
      </c>
      <c r="G42" s="17" t="s">
        <v>265</v>
      </c>
      <c r="H42" s="16" t="s">
        <v>266</v>
      </c>
      <c r="I42" s="16" t="s">
        <v>267</v>
      </c>
      <c r="J42" s="16" t="s">
        <v>14</v>
      </c>
      <c r="K42" s="16"/>
      <c r="L42" s="18" t="s">
        <v>59</v>
      </c>
    </row>
    <row r="43" spans="1:12" ht="15" thickBot="1">
      <c r="A43" s="4" t="s">
        <v>268</v>
      </c>
      <c r="B43" s="4" t="s">
        <v>61</v>
      </c>
      <c r="C43" s="5" t="s">
        <v>7</v>
      </c>
      <c r="D43" s="5" t="s">
        <v>24</v>
      </c>
      <c r="E43" s="5" t="s">
        <v>21</v>
      </c>
      <c r="F43" s="6" t="s">
        <v>269</v>
      </c>
      <c r="G43" s="7">
        <v>38968</v>
      </c>
      <c r="H43" s="6" t="s">
        <v>266</v>
      </c>
      <c r="I43" s="6" t="s">
        <v>270</v>
      </c>
      <c r="J43" s="6" t="s">
        <v>14</v>
      </c>
      <c r="K43" s="6"/>
      <c r="L43" s="8" t="s">
        <v>59</v>
      </c>
    </row>
    <row r="44" spans="1:12">
      <c r="A44" s="9" t="s">
        <v>9</v>
      </c>
      <c r="B44" s="9" t="s">
        <v>69</v>
      </c>
      <c r="C44" s="10" t="s">
        <v>7</v>
      </c>
      <c r="D44" s="10" t="s">
        <v>24</v>
      </c>
      <c r="E44" s="10" t="s">
        <v>21</v>
      </c>
      <c r="F44" s="11" t="s">
        <v>271</v>
      </c>
      <c r="G44" s="12">
        <v>30499</v>
      </c>
      <c r="H44" s="11" t="s">
        <v>272</v>
      </c>
      <c r="I44" s="11" t="s">
        <v>273</v>
      </c>
      <c r="J44" s="11" t="s">
        <v>14</v>
      </c>
      <c r="K44" s="11"/>
      <c r="L44" s="13" t="s">
        <v>67</v>
      </c>
    </row>
    <row r="45" spans="1:12" ht="15" thickBot="1">
      <c r="A45" s="19" t="s">
        <v>274</v>
      </c>
      <c r="B45" s="19" t="s">
        <v>69</v>
      </c>
      <c r="C45" s="20" t="s">
        <v>8</v>
      </c>
      <c r="D45" s="20" t="s">
        <v>24</v>
      </c>
      <c r="E45" s="20" t="s">
        <v>22</v>
      </c>
      <c r="F45" s="21" t="s">
        <v>275</v>
      </c>
      <c r="G45" s="22" t="s">
        <v>276</v>
      </c>
      <c r="H45" s="21" t="s">
        <v>272</v>
      </c>
      <c r="I45" s="21" t="s">
        <v>277</v>
      </c>
      <c r="J45" s="21" t="s">
        <v>13</v>
      </c>
      <c r="K45" s="21" t="s">
        <v>278</v>
      </c>
      <c r="L45" s="23" t="s">
        <v>67</v>
      </c>
    </row>
    <row r="46" spans="1:12">
      <c r="A46" s="14" t="s">
        <v>279</v>
      </c>
      <c r="B46" s="14" t="s">
        <v>77</v>
      </c>
      <c r="C46" s="15" t="s">
        <v>6</v>
      </c>
      <c r="D46" s="15" t="s">
        <v>24</v>
      </c>
      <c r="E46" s="15" t="s">
        <v>21</v>
      </c>
      <c r="F46" s="16" t="s">
        <v>280</v>
      </c>
      <c r="G46" s="17" t="s">
        <v>281</v>
      </c>
      <c r="H46" s="16" t="s">
        <v>282</v>
      </c>
      <c r="I46" s="16" t="s">
        <v>283</v>
      </c>
      <c r="J46" s="16" t="s">
        <v>13</v>
      </c>
      <c r="K46" s="16" t="s">
        <v>284</v>
      </c>
      <c r="L46" s="18" t="s">
        <v>75</v>
      </c>
    </row>
    <row r="47" spans="1:12" ht="15" thickBot="1">
      <c r="A47" s="4" t="s">
        <v>285</v>
      </c>
      <c r="B47" s="4" t="s">
        <v>77</v>
      </c>
      <c r="C47" s="5" t="s">
        <v>8</v>
      </c>
      <c r="D47" s="5" t="s">
        <v>24</v>
      </c>
      <c r="E47" s="5" t="s">
        <v>23</v>
      </c>
      <c r="F47" s="6" t="s">
        <v>286</v>
      </c>
      <c r="G47" s="7">
        <v>44781</v>
      </c>
      <c r="H47" s="6" t="s">
        <v>282</v>
      </c>
      <c r="I47" s="6" t="s">
        <v>287</v>
      </c>
      <c r="J47" s="6" t="s">
        <v>14</v>
      </c>
      <c r="K47" s="6"/>
      <c r="L47" s="8" t="s">
        <v>75</v>
      </c>
    </row>
    <row r="48" spans="1:12">
      <c r="A48" s="9" t="s">
        <v>288</v>
      </c>
      <c r="B48" s="9" t="s">
        <v>84</v>
      </c>
      <c r="C48" s="10" t="s">
        <v>8</v>
      </c>
      <c r="D48" s="10" t="s">
        <v>24</v>
      </c>
      <c r="E48" s="10" t="s">
        <v>22</v>
      </c>
      <c r="F48" s="11" t="s">
        <v>289</v>
      </c>
      <c r="G48" s="12" t="s">
        <v>290</v>
      </c>
      <c r="H48" s="11" t="s">
        <v>291</v>
      </c>
      <c r="I48" s="11" t="s">
        <v>292</v>
      </c>
      <c r="J48" s="11" t="s">
        <v>14</v>
      </c>
      <c r="K48" s="11"/>
      <c r="L48" s="13" t="s">
        <v>82</v>
      </c>
    </row>
    <row r="49" spans="1:12">
      <c r="A49" s="19" t="s">
        <v>293</v>
      </c>
      <c r="B49" s="19" t="s">
        <v>84</v>
      </c>
      <c r="C49" s="20" t="s">
        <v>8</v>
      </c>
      <c r="D49" s="20" t="s">
        <v>24</v>
      </c>
      <c r="E49" s="20" t="s">
        <v>22</v>
      </c>
      <c r="F49" s="21" t="s">
        <v>294</v>
      </c>
      <c r="G49" s="22">
        <v>41374</v>
      </c>
      <c r="H49" s="21" t="s">
        <v>291</v>
      </c>
      <c r="I49" s="21" t="s">
        <v>295</v>
      </c>
      <c r="J49" s="21" t="s">
        <v>13</v>
      </c>
      <c r="K49" s="21" t="s">
        <v>296</v>
      </c>
      <c r="L49" s="23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E43-922E-4A85-9223-A73F2879D17F}">
  <dimension ref="A1:E3"/>
  <sheetViews>
    <sheetView workbookViewId="0">
      <selection activeCell="B8" sqref="B8"/>
    </sheetView>
  </sheetViews>
  <sheetFormatPr defaultRowHeight="14.6"/>
  <cols>
    <col min="2" max="2" width="9.23046875" bestFit="1" customWidth="1"/>
    <col min="4" max="4" width="18.3828125" bestFit="1" customWidth="1"/>
    <col min="5" max="5" width="15.07421875" bestFit="1" customWidth="1"/>
  </cols>
  <sheetData>
    <row r="1" spans="1:5">
      <c r="A1" s="2" t="s">
        <v>32</v>
      </c>
      <c r="B1" s="2" t="s">
        <v>33</v>
      </c>
      <c r="C1" s="2" t="s">
        <v>34</v>
      </c>
      <c r="D1" s="2" t="s">
        <v>36</v>
      </c>
      <c r="E1" s="2" t="s">
        <v>37</v>
      </c>
    </row>
    <row r="2" spans="1:5">
      <c r="A2" t="s">
        <v>47</v>
      </c>
      <c r="B2" t="s">
        <v>35</v>
      </c>
      <c r="C2" t="s">
        <v>46</v>
      </c>
      <c r="D2" t="s">
        <v>48</v>
      </c>
      <c r="E2" t="s">
        <v>49</v>
      </c>
    </row>
    <row r="3" spans="1:5">
      <c r="A3" t="s">
        <v>50</v>
      </c>
      <c r="B3" t="s">
        <v>41</v>
      </c>
      <c r="C3" t="s">
        <v>35</v>
      </c>
      <c r="D3" t="s">
        <v>51</v>
      </c>
      <c r="E3" t="s">
        <v>52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38E-FC1D-4EC4-8691-7F2CCA1B1AB0}">
  <dimension ref="A1:I5"/>
  <sheetViews>
    <sheetView tabSelected="1" workbookViewId="0">
      <selection activeCell="E15" sqref="E15"/>
    </sheetView>
  </sheetViews>
  <sheetFormatPr defaultRowHeight="14.6"/>
  <cols>
    <col min="1" max="1" width="27.84375" bestFit="1" customWidth="1"/>
    <col min="4" max="5" width="9.921875" bestFit="1" customWidth="1"/>
  </cols>
  <sheetData>
    <row r="1" spans="1:9">
      <c r="A1" s="2" t="s">
        <v>25</v>
      </c>
      <c r="B1" s="2" t="s">
        <v>26</v>
      </c>
      <c r="C1" s="2" t="s">
        <v>27</v>
      </c>
      <c r="D1" s="2" t="s">
        <v>30</v>
      </c>
      <c r="E1" s="2" t="s">
        <v>31</v>
      </c>
      <c r="F1" s="3" t="s">
        <v>18</v>
      </c>
      <c r="G1" s="3" t="s">
        <v>17</v>
      </c>
      <c r="H1" s="3" t="s">
        <v>19</v>
      </c>
      <c r="I1" s="3" t="s">
        <v>24</v>
      </c>
    </row>
    <row r="2" spans="1:9">
      <c r="A2" t="s">
        <v>28</v>
      </c>
      <c r="B2" t="s">
        <v>29</v>
      </c>
      <c r="C2">
        <v>5</v>
      </c>
      <c r="D2" t="s">
        <v>38</v>
      </c>
      <c r="E2" t="s">
        <v>42</v>
      </c>
      <c r="F2" s="28">
        <v>20</v>
      </c>
      <c r="G2" s="28">
        <v>5</v>
      </c>
      <c r="H2" s="28">
        <v>15</v>
      </c>
      <c r="I2" s="28">
        <v>8</v>
      </c>
    </row>
    <row r="3" spans="1:9">
      <c r="A3" t="s">
        <v>40</v>
      </c>
      <c r="B3" t="s">
        <v>41</v>
      </c>
      <c r="C3">
        <v>4</v>
      </c>
      <c r="D3" t="s">
        <v>42</v>
      </c>
      <c r="E3" t="s">
        <v>39</v>
      </c>
      <c r="F3" s="28">
        <v>20</v>
      </c>
      <c r="G3" s="28">
        <v>5</v>
      </c>
      <c r="H3" s="28">
        <v>15</v>
      </c>
      <c r="I3" s="28">
        <v>8</v>
      </c>
    </row>
    <row r="4" spans="1:9">
      <c r="A4" t="s">
        <v>43</v>
      </c>
      <c r="B4" t="s">
        <v>44</v>
      </c>
      <c r="C4">
        <v>5</v>
      </c>
      <c r="D4" t="s">
        <v>45</v>
      </c>
      <c r="E4" t="s">
        <v>39</v>
      </c>
      <c r="F4" s="28">
        <v>20</v>
      </c>
      <c r="G4" s="28">
        <v>5</v>
      </c>
      <c r="H4" s="28">
        <v>15</v>
      </c>
      <c r="I4" s="28">
        <v>8</v>
      </c>
    </row>
    <row r="5" spans="1:9">
      <c r="A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E1AB-F084-4D92-B98C-C236F2F8F51F}">
  <dimension ref="A1:C56"/>
  <sheetViews>
    <sheetView workbookViewId="0"/>
  </sheetViews>
  <sheetFormatPr defaultRowHeight="14.6"/>
  <cols>
    <col min="1" max="1" width="12.3828125" bestFit="1" customWidth="1"/>
    <col min="2" max="2" width="24" customWidth="1"/>
    <col min="3" max="3" width="19.3046875" bestFit="1" customWidth="1"/>
  </cols>
  <sheetData>
    <row r="1" spans="1:3">
      <c r="A1" s="27" t="s">
        <v>297</v>
      </c>
      <c r="B1" t="s">
        <v>299</v>
      </c>
    </row>
    <row r="2" spans="1:3">
      <c r="A2" s="1" t="s">
        <v>18</v>
      </c>
      <c r="B2">
        <v>20</v>
      </c>
    </row>
    <row r="3" spans="1:3">
      <c r="A3" s="1" t="s">
        <v>17</v>
      </c>
      <c r="B3">
        <v>5</v>
      </c>
    </row>
    <row r="4" spans="1:3">
      <c r="A4" s="1" t="s">
        <v>19</v>
      </c>
      <c r="B4">
        <v>15</v>
      </c>
    </row>
    <row r="5" spans="1:3">
      <c r="A5" s="1" t="s">
        <v>24</v>
      </c>
      <c r="B5">
        <v>8</v>
      </c>
    </row>
    <row r="6" spans="1:3">
      <c r="A6" s="1" t="s">
        <v>298</v>
      </c>
      <c r="B6">
        <v>48</v>
      </c>
    </row>
    <row r="9" spans="1:3" ht="15" thickBot="1">
      <c r="A9" s="4" t="s">
        <v>53</v>
      </c>
      <c r="B9" s="4" t="s">
        <v>54</v>
      </c>
      <c r="C9" s="4" t="str">
        <f xml:space="preserve"> A9 &amp; " " &amp; B9</f>
        <v>AHMET KEREM AKSOY</v>
      </c>
    </row>
    <row r="10" spans="1:3" ht="15" thickBot="1">
      <c r="A10" s="9" t="s">
        <v>60</v>
      </c>
      <c r="B10" s="9" t="s">
        <v>61</v>
      </c>
      <c r="C10" s="9" t="str">
        <f t="shared" ref="C10:C56" si="0" xml:space="preserve"> A10 &amp; " " &amp; B10</f>
        <v>AYLİN AYDIN</v>
      </c>
    </row>
    <row r="11" spans="1:3" ht="15" thickBot="1">
      <c r="A11" s="14" t="s">
        <v>68</v>
      </c>
      <c r="B11" s="14" t="s">
        <v>69</v>
      </c>
      <c r="C11" s="14" t="str">
        <f t="shared" si="0"/>
        <v>BORA BAYRAKTAR</v>
      </c>
    </row>
    <row r="12" spans="1:3" ht="15" thickBot="1">
      <c r="A12" s="9" t="s">
        <v>76</v>
      </c>
      <c r="B12" s="9" t="s">
        <v>77</v>
      </c>
      <c r="C12" s="9" t="str">
        <f t="shared" si="0"/>
        <v>BANU ÇELİK</v>
      </c>
    </row>
    <row r="13" spans="1:3" ht="15" thickBot="1">
      <c r="A13" s="14" t="s">
        <v>83</v>
      </c>
      <c r="B13" s="14" t="s">
        <v>84</v>
      </c>
      <c r="C13" s="14" t="str">
        <f t="shared" si="0"/>
        <v>CEM DEMİRCİ</v>
      </c>
    </row>
    <row r="14" spans="1:3">
      <c r="A14" s="9" t="s">
        <v>90</v>
      </c>
      <c r="B14" s="9" t="s">
        <v>91</v>
      </c>
      <c r="C14" s="9" t="str">
        <f t="shared" si="0"/>
        <v>DENİZ ALP ERDOĞAN</v>
      </c>
    </row>
    <row r="15" spans="1:3" ht="15" thickBot="1">
      <c r="A15" s="19" t="s">
        <v>98</v>
      </c>
      <c r="B15" s="19" t="s">
        <v>91</v>
      </c>
      <c r="C15" s="19" t="str">
        <f t="shared" si="0"/>
        <v>CEREN ERDOĞAN</v>
      </c>
    </row>
    <row r="16" spans="1:3">
      <c r="A16" s="14" t="s">
        <v>101</v>
      </c>
      <c r="B16" s="14" t="s">
        <v>102</v>
      </c>
      <c r="C16" s="14" t="str">
        <f t="shared" si="0"/>
        <v>DERYA GÜNEŞ</v>
      </c>
    </row>
    <row r="17" spans="1:3" ht="15" thickBot="1">
      <c r="A17" s="4" t="s">
        <v>108</v>
      </c>
      <c r="B17" s="4" t="s">
        <v>102</v>
      </c>
      <c r="C17" s="4" t="str">
        <f t="shared" si="0"/>
        <v>EMRE GÜNEŞ</v>
      </c>
    </row>
    <row r="18" spans="1:3">
      <c r="A18" s="9" t="s">
        <v>112</v>
      </c>
      <c r="B18" s="9" t="s">
        <v>113</v>
      </c>
      <c r="C18" s="9" t="str">
        <f t="shared" si="0"/>
        <v>EBRU KARA</v>
      </c>
    </row>
    <row r="19" spans="1:3" ht="15" thickBot="1">
      <c r="A19" s="19" t="s">
        <v>118</v>
      </c>
      <c r="B19" s="19" t="s">
        <v>113</v>
      </c>
      <c r="C19" s="19" t="str">
        <f t="shared" si="0"/>
        <v>FURKAN KARA</v>
      </c>
    </row>
    <row r="20" spans="1:3">
      <c r="A20" s="14" t="s">
        <v>122</v>
      </c>
      <c r="B20" s="14" t="s">
        <v>123</v>
      </c>
      <c r="C20" s="14" t="str">
        <f t="shared" si="0"/>
        <v>GÖKHAN KOÇ</v>
      </c>
    </row>
    <row r="21" spans="1:3" ht="15" thickBot="1">
      <c r="A21" s="4" t="s">
        <v>129</v>
      </c>
      <c r="B21" s="4" t="s">
        <v>123</v>
      </c>
      <c r="C21" s="4" t="str">
        <f t="shared" si="0"/>
        <v>FERAY KOÇ</v>
      </c>
    </row>
    <row r="22" spans="1:3">
      <c r="A22" s="9" t="s">
        <v>134</v>
      </c>
      <c r="B22" s="9" t="s">
        <v>135</v>
      </c>
      <c r="C22" s="9" t="str">
        <f t="shared" si="0"/>
        <v>GİZEM KURT</v>
      </c>
    </row>
    <row r="23" spans="1:3" ht="15" thickBot="1">
      <c r="A23" s="19" t="s">
        <v>141</v>
      </c>
      <c r="B23" s="19" t="s">
        <v>135</v>
      </c>
      <c r="C23" s="19" t="str">
        <f t="shared" si="0"/>
        <v>HANDE KURT</v>
      </c>
    </row>
    <row r="24" spans="1:3">
      <c r="A24" s="14" t="s">
        <v>146</v>
      </c>
      <c r="B24" s="14" t="s">
        <v>147</v>
      </c>
      <c r="C24" s="14" t="str">
        <f t="shared" si="0"/>
        <v>HAKAN ÖZKAN</v>
      </c>
    </row>
    <row r="25" spans="1:3" ht="15" thickBot="1">
      <c r="A25" s="4" t="s">
        <v>151</v>
      </c>
      <c r="B25" s="4" t="s">
        <v>147</v>
      </c>
      <c r="C25" s="4" t="str">
        <f t="shared" si="0"/>
        <v>İREM ÖZKAN</v>
      </c>
    </row>
    <row r="26" spans="1:3">
      <c r="A26" s="9" t="s">
        <v>154</v>
      </c>
      <c r="B26" s="9" t="s">
        <v>155</v>
      </c>
      <c r="C26" s="9" t="str">
        <f t="shared" si="0"/>
        <v>İLKER POLAT</v>
      </c>
    </row>
    <row r="27" spans="1:3" ht="15" thickBot="1">
      <c r="A27" s="19" t="s">
        <v>160</v>
      </c>
      <c r="B27" s="19" t="s">
        <v>155</v>
      </c>
      <c r="C27" s="19" t="str">
        <f t="shared" si="0"/>
        <v>KAAN POLAT</v>
      </c>
    </row>
    <row r="28" spans="1:3">
      <c r="A28" s="14" t="s">
        <v>165</v>
      </c>
      <c r="B28" s="14" t="s">
        <v>166</v>
      </c>
      <c r="C28" s="14" t="str">
        <f t="shared" si="0"/>
        <v>JALE SAĞLAM</v>
      </c>
    </row>
    <row r="29" spans="1:3" ht="15" thickBot="1">
      <c r="A29" s="4" t="s">
        <v>171</v>
      </c>
      <c r="B29" s="4" t="s">
        <v>166</v>
      </c>
      <c r="C29" s="4" t="str">
        <f t="shared" si="0"/>
        <v>LALE SAĞLAM</v>
      </c>
    </row>
    <row r="30" spans="1:3">
      <c r="A30" s="9" t="s">
        <v>174</v>
      </c>
      <c r="B30" s="9" t="s">
        <v>175</v>
      </c>
      <c r="C30" s="9" t="str">
        <f t="shared" si="0"/>
        <v>LEVENT ŞAHİN</v>
      </c>
    </row>
    <row r="31" spans="1:3" ht="15" thickBot="1">
      <c r="A31" s="19" t="s">
        <v>180</v>
      </c>
      <c r="B31" s="19" t="s">
        <v>175</v>
      </c>
      <c r="C31" s="19" t="str">
        <f t="shared" si="0"/>
        <v>MELİS ŞAHİN</v>
      </c>
    </row>
    <row r="32" spans="1:3">
      <c r="A32" s="14" t="s">
        <v>184</v>
      </c>
      <c r="B32" s="14" t="s">
        <v>185</v>
      </c>
      <c r="C32" s="14" t="str">
        <f t="shared" si="0"/>
        <v>NAZAN TAŞÇI</v>
      </c>
    </row>
    <row r="33" spans="1:3" ht="15" thickBot="1">
      <c r="A33" s="4" t="s">
        <v>190</v>
      </c>
      <c r="B33" s="4" t="s">
        <v>185</v>
      </c>
      <c r="C33" s="4" t="str">
        <f t="shared" si="0"/>
        <v>MERT CAN TAŞÇI</v>
      </c>
    </row>
    <row r="34" spans="1:3">
      <c r="A34" s="9" t="s">
        <v>195</v>
      </c>
      <c r="B34" s="9" t="s">
        <v>196</v>
      </c>
      <c r="C34" s="9" t="str">
        <f t="shared" si="0"/>
        <v>OĞUZ TEKİN</v>
      </c>
    </row>
    <row r="35" spans="1:3">
      <c r="A35" s="19" t="s">
        <v>202</v>
      </c>
      <c r="B35" s="19" t="s">
        <v>196</v>
      </c>
      <c r="C35" s="19" t="str">
        <f t="shared" si="0"/>
        <v>PELİN TEKİN</v>
      </c>
    </row>
    <row r="36" spans="1:3" ht="15" thickBot="1">
      <c r="A36" s="19" t="s">
        <v>205</v>
      </c>
      <c r="B36" s="19" t="s">
        <v>196</v>
      </c>
      <c r="C36" s="19" t="str">
        <f t="shared" si="0"/>
        <v>ONUR TEKİN</v>
      </c>
    </row>
    <row r="37" spans="1:3">
      <c r="A37" s="14" t="s">
        <v>208</v>
      </c>
      <c r="B37" s="14" t="s">
        <v>209</v>
      </c>
      <c r="C37" s="14" t="str">
        <f t="shared" si="0"/>
        <v>RÜYA TOPRAK</v>
      </c>
    </row>
    <row r="38" spans="1:3">
      <c r="A38" s="4" t="s">
        <v>214</v>
      </c>
      <c r="B38" s="4" t="s">
        <v>209</v>
      </c>
      <c r="C38" s="4" t="str">
        <f t="shared" si="0"/>
        <v>RIZA TOPRAK</v>
      </c>
    </row>
    <row r="39" spans="1:3" ht="15" thickBot="1">
      <c r="A39" s="4" t="s">
        <v>218</v>
      </c>
      <c r="B39" s="4" t="s">
        <v>209</v>
      </c>
      <c r="C39" s="4" t="str">
        <f t="shared" si="0"/>
        <v>SELİN TOPRAK</v>
      </c>
    </row>
    <row r="40" spans="1:3">
      <c r="A40" s="9" t="s">
        <v>221</v>
      </c>
      <c r="B40" s="9" t="s">
        <v>222</v>
      </c>
      <c r="C40" s="9" t="str">
        <f t="shared" si="0"/>
        <v>SELÇUK UÇAR</v>
      </c>
    </row>
    <row r="41" spans="1:3">
      <c r="A41" s="19" t="s">
        <v>228</v>
      </c>
      <c r="B41" s="19" t="s">
        <v>222</v>
      </c>
      <c r="C41" s="19" t="str">
        <f t="shared" si="0"/>
        <v>TUĞÇE UÇAR</v>
      </c>
    </row>
    <row r="42" spans="1:3" ht="15" thickBot="1">
      <c r="A42" s="19" t="s">
        <v>232</v>
      </c>
      <c r="B42" s="19" t="s">
        <v>222</v>
      </c>
      <c r="C42" s="19" t="str">
        <f t="shared" si="0"/>
        <v>YASEMİN UÇAR</v>
      </c>
    </row>
    <row r="43" spans="1:3">
      <c r="A43" s="14" t="s">
        <v>235</v>
      </c>
      <c r="B43" s="14" t="s">
        <v>236</v>
      </c>
      <c r="C43" s="14" t="str">
        <f t="shared" si="0"/>
        <v>ZEYNEP YILDIRIM</v>
      </c>
    </row>
    <row r="44" spans="1:3">
      <c r="A44" s="4" t="s">
        <v>241</v>
      </c>
      <c r="B44" s="4" t="s">
        <v>236</v>
      </c>
      <c r="C44" s="4" t="str">
        <f t="shared" si="0"/>
        <v>TOLGA YILDIRIM</v>
      </c>
    </row>
    <row r="45" spans="1:3" ht="15" thickBot="1">
      <c r="A45" s="4" t="s">
        <v>246</v>
      </c>
      <c r="B45" s="4" t="s">
        <v>236</v>
      </c>
      <c r="C45" s="4" t="str">
        <f t="shared" si="0"/>
        <v>ASLI YILDIRIM</v>
      </c>
    </row>
    <row r="46" spans="1:3">
      <c r="A46" s="9" t="s">
        <v>250</v>
      </c>
      <c r="B46" s="9" t="s">
        <v>54</v>
      </c>
      <c r="C46" s="9" t="str">
        <f t="shared" si="0"/>
        <v>UMUT AKSOY</v>
      </c>
    </row>
    <row r="47" spans="1:3">
      <c r="A47" s="19" t="s">
        <v>255</v>
      </c>
      <c r="B47" s="19" t="s">
        <v>54</v>
      </c>
      <c r="C47" s="19" t="str">
        <f t="shared" si="0"/>
        <v>DEFNE AKSOY</v>
      </c>
    </row>
    <row r="48" spans="1:3" ht="15" thickBot="1">
      <c r="A48" s="19" t="s">
        <v>259</v>
      </c>
      <c r="B48" s="19" t="s">
        <v>54</v>
      </c>
      <c r="C48" s="19" t="str">
        <f t="shared" si="0"/>
        <v>VOLKAN AKSOY</v>
      </c>
    </row>
    <row r="49" spans="1:3">
      <c r="A49" s="14" t="s">
        <v>263</v>
      </c>
      <c r="B49" s="14" t="s">
        <v>61</v>
      </c>
      <c r="C49" s="14" t="str">
        <f t="shared" si="0"/>
        <v>YALÇIN AYDIN</v>
      </c>
    </row>
    <row r="50" spans="1:3" ht="15" thickBot="1">
      <c r="A50" s="4" t="s">
        <v>268</v>
      </c>
      <c r="B50" s="4" t="s">
        <v>61</v>
      </c>
      <c r="C50" s="4" t="str">
        <f t="shared" si="0"/>
        <v>ELİF AYDIN</v>
      </c>
    </row>
    <row r="51" spans="1:3">
      <c r="A51" s="9" t="s">
        <v>9</v>
      </c>
      <c r="B51" s="9" t="s">
        <v>69</v>
      </c>
      <c r="C51" s="9" t="str">
        <f t="shared" si="0"/>
        <v>LİNA BAYRAKTAR</v>
      </c>
    </row>
    <row r="52" spans="1:3" ht="15" thickBot="1">
      <c r="A52" s="19" t="s">
        <v>274</v>
      </c>
      <c r="B52" s="19" t="s">
        <v>69</v>
      </c>
      <c r="C52" s="19" t="str">
        <f t="shared" si="0"/>
        <v>ARDA BAYRAKTAR</v>
      </c>
    </row>
    <row r="53" spans="1:3">
      <c r="A53" s="14" t="s">
        <v>279</v>
      </c>
      <c r="B53" s="14" t="s">
        <v>77</v>
      </c>
      <c r="C53" s="14" t="str">
        <f t="shared" si="0"/>
        <v>EFE ÇELİK</v>
      </c>
    </row>
    <row r="54" spans="1:3" ht="15" thickBot="1">
      <c r="A54" s="4" t="s">
        <v>285</v>
      </c>
      <c r="B54" s="4" t="s">
        <v>77</v>
      </c>
      <c r="C54" s="4" t="str">
        <f t="shared" si="0"/>
        <v>MİNA ÇELİK</v>
      </c>
    </row>
    <row r="55" spans="1:3">
      <c r="A55" s="9" t="s">
        <v>288</v>
      </c>
      <c r="B55" s="9" t="s">
        <v>84</v>
      </c>
      <c r="C55" s="9" t="str">
        <f t="shared" si="0"/>
        <v>ATLAS DEMİRCİ</v>
      </c>
    </row>
    <row r="56" spans="1:3">
      <c r="A56" s="19" t="s">
        <v>293</v>
      </c>
      <c r="B56" s="19" t="s">
        <v>84</v>
      </c>
      <c r="C56" s="19" t="str">
        <f t="shared" si="0"/>
        <v>NEHİR DEMİRCİ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Rooming</vt:lpstr>
      <vt:lpstr>Flights</vt:lpstr>
      <vt:lpstr>Hotels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ersen celebi</cp:lastModifiedBy>
  <dcterms:created xsi:type="dcterms:W3CDTF">2015-06-05T18:17:20Z</dcterms:created>
  <dcterms:modified xsi:type="dcterms:W3CDTF">2026-08-02T01:09:31Z</dcterms:modified>
</cp:coreProperties>
</file>