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e819ce0d9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olcu Listesi" sheetId="1" r:id="R64f00d6e4aaa45c3"/>
    <x:sheet xmlns:r="http://schemas.openxmlformats.org/officeDocument/2006/relationships" name="Özet" sheetId="2" r:id="R1a126507bb70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sz val="10"/>
      <x:color rgb="FF1F2937"/>
      <x:name val="Carlito"/>
    </x:font>
    <x:font>
      <x:b/>
      <x:sz val="15"/>
      <x:color rgb="FFFFFFFF"/>
      <x:name val="Carlito"/>
    </x:font>
    <x:font>
      <x:i/>
      <x:sz val="10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7FC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20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top style="medium">
        <x:color rgb="FF9FBAD0"/>
      </x:top>
      <x:bottom style="thin">
        <x:color rgb="FFD9E2F3"/>
      </x:bottom>
    </x:border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left" vertical="center"/>
    </x:xf>
    <x:xf numFmtId="0" fontId="2" fillId="0" borderId="5" xfId="0" applyNumberFormat="1" applyFont="1" applyFill="1" applyBorder="1" applyAlignment="1">
      <x:alignment horizontal="left" vertical="center"/>
    </x:xf>
    <x:xf numFmtId="0" fontId="2" fillId="0" borderId="6" xfId="0" applyNumberFormat="1" applyFont="1" applyFill="1" applyBorder="1" applyAlignment="1">
      <x:alignment horizontal="left" vertical="center"/>
    </x:xf>
    <x:xf numFmtId="0" fontId="3" fillId="3" borderId="5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horizontal="center" vertical="center"/>
    </x:xf>
    <x:xf numFmtId="200" fontId="2" fillId="3" borderId="5" xfId="0" applyNumberFormat="1" applyFont="1" applyFill="1" applyBorder="1" applyAlignment="1">
      <x:alignment horizontal="center" vertical="center"/>
    </x:xf>
    <x:xf numFmtId="201" fontId="2" fillId="3" borderId="5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left" vertical="center"/>
    </x:xf>
    <x:xf numFmtId="0" fontId="3" fillId="3" borderId="7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horizontal="center" vertical="center"/>
    </x:xf>
    <x:xf numFmtId="200" fontId="2" fillId="3" borderId="7" xfId="0" applyNumberFormat="1" applyFont="1" applyFill="1" applyBorder="1" applyAlignment="1">
      <x:alignment horizontal="center" vertical="center"/>
    </x:xf>
    <x:xf numFmtId="201" fontId="2" fillId="3" borderId="7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 applyAlignment="1">
      <x:alignment horizontal="left" vertical="center"/>
    </x:xf>
    <x:xf numFmtId="0" fontId="3" fillId="0" borderId="7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left" vertical="center"/>
    </x:xf>
    <x:xf numFmtId="0" fontId="3" fillId="3" borderId="6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horizontal="center" vertical="center"/>
    </x:xf>
    <x:xf numFmtId="201" fontId="2" fillId="3" borderId="6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8" xfId="0" applyNumberFormat="1" applyFont="1" applyFill="1" applyBorder="1"/>
    <x:xf numFmtId="0" fontId="1" fillId="5" borderId="9" xfId="0" applyNumberFormat="1" applyFont="1" applyFill="1" applyBorder="1"/>
    <x:xf numFmtId="0" fontId="1" fillId="5" borderId="8" xfId="0" applyNumberFormat="1" applyFont="1" applyFill="1" applyBorder="1" applyAlignment="1">
      <x:alignment horizontal="center"/>
    </x:xf>
    <x:xf numFmtId="0" fontId="1" fillId="5" borderId="9" xfId="0" applyNumberFormat="1" applyFont="1" applyFill="1" applyBorder="1" applyAlignment="1">
      <x:alignment horizontal="center"/>
    </x:xf>
    <x:xf numFmtId="0" fontId="1" fillId="5" borderId="10" xfId="0" applyNumberFormat="1" applyFont="1" applyFill="1" applyBorder="1"/>
    <x:xf numFmtId="0" fontId="1" fillId="5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2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ee3a9d0d8432b" /><Relationship Type="http://schemas.openxmlformats.org/officeDocument/2006/relationships/theme" Target="/xl/theme/theme1.xml" Id="R127cc5b9ab3d4940" /><Relationship Type="http://schemas.openxmlformats.org/officeDocument/2006/relationships/sharedStrings" Target="/xl/sharedStrings.xml" Id="Re0f1c97b5a43444e" /><Relationship Type="http://schemas.openxmlformats.org/officeDocument/2006/relationships/worksheet" Target="/xl/worksheets/sheet1.xml" Id="R64f00d6e4aaa45c3" /><Relationship Type="http://schemas.openxmlformats.org/officeDocument/2006/relationships/worksheet" Target="/xl/worksheets/sheet2.xml" Id="R1a126507bb704888" /></Relationships>
</file>

<file path=xl/tables/table1.xml><?xml version="1.0" encoding="utf-8"?>
<x:table xmlns:x="http://schemas.openxmlformats.org/spreadsheetml/2006/main" id="1" name="PassengerManifestTable" displayName="PassengerManifestTable" ref="A1:L49" headerRowCount="1" totalsRowCount="0" totalsRowShown="0">
  <x:autoFilter ref="A1:L49"/>
  <x:tableColumns count="12">
    <x:tableColumn id="1" name="Yolcu Adı"/>
    <x:tableColumn id="2" name="Yolcu Soyadı"/>
    <x:tableColumn id="3" name="Cinsiyet"/>
    <x:tableColumn id="4" name="RoomType"/>
    <x:tableColumn id="5" name="Pax Type"/>
    <x:tableColumn id="6" name="T.C. Kimlik No"/>
    <x:tableColumn id="7" name="Doğum Tarihi"/>
    <x:tableColumn id="8" name="Telefon"/>
    <x:tableColumn id="9" name="Pasaport No"/>
    <x:tableColumn id="10" name="Pasaport type"/>
    <x:tableColumn id="11" name="Visa No"/>
    <x:tableColumn id="12" name="Adres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745628d8394d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18" hidden="0" customWidth="1"/>
    <x:col min="9" max="9" width="15" hidden="0" customWidth="1"/>
    <x:col min="10" max="10" width="14" hidden="0" customWidth="1"/>
    <x:col min="11" max="11" width="14" hidden="0" customWidth="1"/>
    <x:col min="12" max="12" width="24" hidden="0" customWidth="1"/>
  </x:cols>
  <x:sheetData>
    <x:row r="1" ht="32" customHeight="1">
      <x:c r="A1" s="12" t="str">
        <x:v>Yolcu Adı</x:v>
      </x:c>
      <x:c r="B1" s="13" t="str">
        <x:v>Yolcu Soyadı</x:v>
      </x:c>
      <x:c r="C1" s="13" t="str">
        <x:v>Cinsiyet</x:v>
      </x:c>
      <x:c r="D1" s="13" t="str">
        <x:v>RoomType</x:v>
      </x:c>
      <x:c r="E1" s="13" t="str">
        <x:v>Pax Type</x:v>
      </x:c>
      <x:c r="F1" s="13" t="str">
        <x:v>T.C. Kimlik No</x:v>
      </x:c>
      <x:c r="G1" s="13" t="str">
        <x:v>Doğum Tarihi</x:v>
      </x:c>
      <x:c r="H1" s="13" t="str">
        <x:v>Telefon</x:v>
      </x:c>
      <x:c r="I1" s="13" t="str">
        <x:v>Pasaport No</x:v>
      </x:c>
      <x:c r="J1" s="13" t="str">
        <x:v>Pasaport type</x:v>
      </x:c>
      <x:c r="K1" s="13" t="str">
        <x:v>Visa No</x:v>
      </x:c>
      <x:c r="L1" s="14" t="str">
        <x:v>Adress</x:v>
      </x:c>
    </x:row>
    <x:row r="2">
      <x:c r="A2" s="22" t="str">
        <x:v>AHMET KEREM</x:v>
      </x:c>
      <x:c r="B2" s="22" t="str">
        <x:v>AKSOY</x:v>
      </x:c>
      <x:c r="C2" s="25" t="str">
        <x:v>MR</x:v>
      </x:c>
      <x:c r="D2" s="25" t="str">
        <x:v>single</x:v>
      </x:c>
      <x:c r="E2" s="25" t="str">
        <x:v>Adult</x:v>
      </x:c>
      <x:c r="F2" s="34" t="str">
        <x:v>28408864549</x:v>
      </x:c>
      <x:c r="G2" s="35" t="n">
        <x:v>33123.671741956015</x:v>
      </x:c>
      <x:c r="H2" s="34" t="str">
        <x:v>90 536 945 43 22</x:v>
      </x:c>
      <x:c r="I2" s="34" t="str">
        <x:v>8714005979</x:v>
      </x:c>
      <x:c r="J2" s="34" t="str">
        <x:v>Red</x:v>
      </x:c>
      <x:c r="K2" s="34" t="str">
        <x:v>321549974</x:v>
      </x:c>
      <x:c r="L2" s="40" t="str">
        <x:v>Kadıköy / İstanbul</x:v>
      </x:c>
    </x:row>
    <x:row r="3">
      <x:c r="A3" s="48" t="str">
        <x:v>AYLİN</x:v>
      </x:c>
      <x:c r="B3" s="48" t="str">
        <x:v>AYDIN</x:v>
      </x:c>
      <x:c r="C3" s="49" t="str">
        <x:v>MRS</x:v>
      </x:c>
      <x:c r="D3" s="49" t="str">
        <x:v>single</x:v>
      </x:c>
      <x:c r="E3" s="49" t="str">
        <x:v>Adult</x:v>
      </x:c>
      <x:c r="F3" s="50" t="str">
        <x:v>46520708547</x:v>
      </x:c>
      <x:c r="G3" s="51" t="n">
        <x:v>34841.4489787037</x:v>
      </x:c>
      <x:c r="H3" s="50" t="str">
        <x:v>90 530 851 73 91</x:v>
      </x:c>
      <x:c r="I3" s="50" t="str">
        <x:v>9500547874</x:v>
      </x:c>
      <x:c r="J3" s="50" t="str">
        <x:v>Red</x:v>
      </x:c>
      <x:c r="K3" s="50" t="str">
        <x:v>244511578</x:v>
      </x:c>
      <x:c r="L3" s="52" t="str">
        <x:v>Çankaya / Ankara</x:v>
      </x:c>
    </x:row>
    <x:row r="4">
      <x:c r="A4" s="53" t="str">
        <x:v>BORA</x:v>
      </x:c>
      <x:c r="B4" s="53" t="str">
        <x:v>BAYRAKTAR</x:v>
      </x:c>
      <x:c r="C4" s="54" t="str">
        <x:v>MR</x:v>
      </x:c>
      <x:c r="D4" s="54" t="str">
        <x:v>single</x:v>
      </x:c>
      <x:c r="E4" s="54" t="str">
        <x:v>Adult</x:v>
      </x:c>
      <x:c r="F4" s="55" t="str">
        <x:v>64910198315</x:v>
      </x:c>
      <x:c r="G4" s="56" t="n">
        <x:v>28214.684142592592</x:v>
      </x:c>
      <x:c r="H4" s="55" t="str">
        <x:v>90 539 590 46 79</x:v>
      </x:c>
      <x:c r="I4" s="55" t="str">
        <x:v>7704748378</x:v>
      </x:c>
      <x:c r="J4" s="55" t="str">
        <x:v>Red</x:v>
      </x:c>
      <x:c r="K4" s="55" t="str">
        <x:v>857911094</x:v>
      </x:c>
      <x:c r="L4" s="57" t="str">
        <x:v>Konak / İzmir</x:v>
      </x:c>
    </x:row>
    <x:row r="5">
      <x:c r="A5" s="48" t="str">
        <x:v>BANU</x:v>
      </x:c>
      <x:c r="B5" s="48" t="str">
        <x:v>ÇELİK</x:v>
      </x:c>
      <x:c r="C5" s="49" t="str">
        <x:v>MRS</x:v>
      </x:c>
      <x:c r="D5" s="49" t="str">
        <x:v>single</x:v>
      </x:c>
      <x:c r="E5" s="49" t="str">
        <x:v>Adult</x:v>
      </x:c>
      <x:c r="F5" s="50" t="str">
        <x:v>33835542056</x:v>
      </x:c>
      <x:c r="G5" s="51" t="n">
        <x:v>28852.415489340277</x:v>
      </x:c>
      <x:c r="H5" s="50" t="str">
        <x:v>90 533 880 36 13</x:v>
      </x:c>
      <x:c r="I5" s="50" t="str">
        <x:v>6848562860</x:v>
      </x:c>
      <x:c r="J5" s="50" t="str">
        <x:v>Green</x:v>
      </x:c>
      <x:c r="K5" s="50" t="str"/>
      <x:c r="L5" s="52" t="str">
        <x:v>Nilüfer / Bursa</x:v>
      </x:c>
    </x:row>
    <x:row r="6">
      <x:c r="A6" s="53" t="str">
        <x:v>CEM</x:v>
      </x:c>
      <x:c r="B6" s="53" t="str">
        <x:v>DEMİRCİ</x:v>
      </x:c>
      <x:c r="C6" s="54" t="str">
        <x:v>MR</x:v>
      </x:c>
      <x:c r="D6" s="54" t="str">
        <x:v>single</x:v>
      </x:c>
      <x:c r="E6" s="54" t="str">
        <x:v>Adult</x:v>
      </x:c>
      <x:c r="F6" s="55" t="str">
        <x:v>18184608760</x:v>
      </x:c>
      <x:c r="G6" s="56" t="n">
        <x:v>38136.61139722222</x:v>
      </x:c>
      <x:c r="H6" s="55" t="str">
        <x:v>90 553 366 61 29</x:v>
      </x:c>
      <x:c r="I6" s="55" t="str">
        <x:v>3324324077</x:v>
      </x:c>
      <x:c r="J6" s="55" t="str">
        <x:v>Green</x:v>
      </x:c>
      <x:c r="K6" s="55" t="str"/>
      <x:c r="L6" s="57" t="str">
        <x:v>Muratpaşa / Antalya</x:v>
      </x:c>
    </x:row>
    <x:row r="7">
      <x:c r="A7" s="48" t="str">
        <x:v>DENİZ ALP</x:v>
      </x:c>
      <x:c r="B7" s="48" t="str">
        <x:v>ERDOĞAN</x:v>
      </x:c>
      <x:c r="C7" s="49" t="str">
        <x:v>MR</x:v>
      </x:c>
      <x:c r="D7" s="49" t="str">
        <x:v>Double</x:v>
      </x:c>
      <x:c r="E7" s="49" t="str">
        <x:v>Adult</x:v>
      </x:c>
      <x:c r="F7" s="50" t="str">
        <x:v>53647661223</x:v>
      </x:c>
      <x:c r="G7" s="51" t="n">
        <x:v>35054.13837901621</x:v>
      </x:c>
      <x:c r="H7" s="50" t="str">
        <x:v>90 545 658 58 51</x:v>
      </x:c>
      <x:c r="I7" s="50" t="str">
        <x:v>7659887797</x:v>
      </x:c>
      <x:c r="J7" s="50" t="str">
        <x:v>Red</x:v>
      </x:c>
      <x:c r="K7" s="50" t="str">
        <x:v>232587688</x:v>
      </x:c>
      <x:c r="L7" s="52" t="str">
        <x:v>Tepebaşı / Eskişehir</x:v>
      </x:c>
    </x:row>
    <x:row r="8">
      <x:c r="A8" s="43" t="str">
        <x:v>CEREN</x:v>
      </x:c>
      <x:c r="B8" s="43" t="str">
        <x:v>ERDOĞAN</x:v>
      </x:c>
      <x:c r="C8" s="44" t="str">
        <x:v>MRS</x:v>
      </x:c>
      <x:c r="D8" s="44" t="str">
        <x:v>Double</x:v>
      </x:c>
      <x:c r="E8" s="44" t="str">
        <x:v>Adult</x:v>
      </x:c>
      <x:c r="F8" s="45" t="str">
        <x:v>13767191792</x:v>
      </x:c>
      <x:c r="G8" s="46" t="n">
        <x:v>27009.26333273148</x:v>
      </x:c>
      <x:c r="H8" s="45" t="str">
        <x:v>90 545 658 58 51</x:v>
      </x:c>
      <x:c r="I8" s="45" t="str">
        <x:v>7308400516</x:v>
      </x:c>
      <x:c r="J8" s="45" t="str">
        <x:v>Green</x:v>
      </x:c>
      <x:c r="K8" s="45" t="str"/>
      <x:c r="L8" s="47" t="str">
        <x:v>Tepebaşı / Eskişehir</x:v>
      </x:c>
    </x:row>
    <x:row r="9">
      <x:c r="A9" s="53" t="str">
        <x:v>DERYA</x:v>
      </x:c>
      <x:c r="B9" s="53" t="str">
        <x:v>GÜNEŞ</x:v>
      </x:c>
      <x:c r="C9" s="54" t="str">
        <x:v>MRS</x:v>
      </x:c>
      <x:c r="D9" s="54" t="str">
        <x:v>Double</x:v>
      </x:c>
      <x:c r="E9" s="54" t="str">
        <x:v>Adult</x:v>
      </x:c>
      <x:c r="F9" s="55" t="str">
        <x:v>60232949653</x:v>
      </x:c>
      <x:c r="G9" s="56" t="n">
        <x:v>27080.51169480324</x:v>
      </x:c>
      <x:c r="H9" s="55" t="str">
        <x:v>90 532 488 32 23</x:v>
      </x:c>
      <x:c r="I9" s="55" t="str">
        <x:v>3918792149</x:v>
      </x:c>
      <x:c r="J9" s="55" t="str">
        <x:v>Green</x:v>
      </x:c>
      <x:c r="K9" s="55" t="str"/>
      <x:c r="L9" s="57" t="str">
        <x:v>Atakum / Samsun</x:v>
      </x:c>
    </x:row>
    <x:row r="10">
      <x:c r="A10" s="23" t="str">
        <x:v>EMRE</x:v>
      </x:c>
      <x:c r="B10" s="23" t="str">
        <x:v>GÜNEŞ</x:v>
      </x:c>
      <x:c r="C10" s="26" t="str">
        <x:v>MR</x:v>
      </x:c>
      <x:c r="D10" s="26" t="str">
        <x:v>Double</x:v>
      </x:c>
      <x:c r="E10" s="26" t="str">
        <x:v>Adult</x:v>
      </x:c>
      <x:c r="F10" s="36" t="str">
        <x:v>45707282304</x:v>
      </x:c>
      <x:c r="G10" s="37" t="n">
        <x:v>26817.91136335648</x:v>
      </x:c>
      <x:c r="H10" s="36" t="str">
        <x:v>90 532 488 32 23</x:v>
      </x:c>
      <x:c r="I10" s="36" t="str">
        <x:v>6151245955</x:v>
      </x:c>
      <x:c r="J10" s="36" t="str">
        <x:v>Red</x:v>
      </x:c>
      <x:c r="K10" s="36" t="str">
        <x:v>802466916</x:v>
      </x:c>
      <x:c r="L10" s="41" t="str">
        <x:v>Atakum / Samsun</x:v>
      </x:c>
    </x:row>
    <x:row r="11">
      <x:c r="A11" s="48" t="str">
        <x:v>EBRU</x:v>
      </x:c>
      <x:c r="B11" s="48" t="str">
        <x:v>KARA</x:v>
      </x:c>
      <x:c r="C11" s="49" t="str">
        <x:v>MRS</x:v>
      </x:c>
      <x:c r="D11" s="49" t="str">
        <x:v>Double</x:v>
      </x:c>
      <x:c r="E11" s="49" t="str">
        <x:v>Adult</x:v>
      </x:c>
      <x:c r="F11" s="50" t="str">
        <x:v>56955845981</x:v>
      </x:c>
      <x:c r="G11" s="51" t="n">
        <x:v>20433.789415775464</x:v>
      </x:c>
      <x:c r="H11" s="50" t="str">
        <x:v>90 539 652 92 07</x:v>
      </x:c>
      <x:c r="I11" s="50" t="str">
        <x:v>9253160932</x:v>
      </x:c>
      <x:c r="J11" s="50" t="str">
        <x:v>Green</x:v>
      </x:c>
      <x:c r="K11" s="50" t="str"/>
      <x:c r="L11" s="52" t="str">
        <x:v>Selçuklu / Konya</x:v>
      </x:c>
    </x:row>
    <x:row r="12">
      <x:c r="A12" s="43" t="str">
        <x:v>FURKAN</x:v>
      </x:c>
      <x:c r="B12" s="43" t="str">
        <x:v>KARA</x:v>
      </x:c>
      <x:c r="C12" s="44" t="str">
        <x:v>CHD</x:v>
      </x:c>
      <x:c r="D12" s="44" t="str">
        <x:v>Double</x:v>
      </x:c>
      <x:c r="E12" s="44" t="str">
        <x:v>Children</x:v>
      </x:c>
      <x:c r="F12" s="45" t="str">
        <x:v>53091531421</x:v>
      </x:c>
      <x:c r="G12" s="46" t="n">
        <x:v>43793.60651125</x:v>
      </x:c>
      <x:c r="H12" s="45" t="str">
        <x:v>90 539 652 92 07</x:v>
      </x:c>
      <x:c r="I12" s="45" t="str">
        <x:v>9674996455</x:v>
      </x:c>
      <x:c r="J12" s="45" t="str">
        <x:v>Green</x:v>
      </x:c>
      <x:c r="K12" s="45" t="str"/>
      <x:c r="L12" s="47" t="str">
        <x:v>Selçuklu / Konya</x:v>
      </x:c>
    </x:row>
    <x:row r="13">
      <x:c r="A13" s="53" t="str">
        <x:v>GÖKHAN</x:v>
      </x:c>
      <x:c r="B13" s="53" t="str">
        <x:v>KOÇ</x:v>
      </x:c>
      <x:c r="C13" s="54" t="str">
        <x:v>MR</x:v>
      </x:c>
      <x:c r="D13" s="54" t="str">
        <x:v>Double</x:v>
      </x:c>
      <x:c r="E13" s="54" t="str">
        <x:v>Adult</x:v>
      </x:c>
      <x:c r="F13" s="55" t="str">
        <x:v>52911820692</x:v>
      </x:c>
      <x:c r="G13" s="56" t="n">
        <x:v>35477.272908784726</x:v>
      </x:c>
      <x:c r="H13" s="55" t="str">
        <x:v>90 555 094 66 74</x:v>
      </x:c>
      <x:c r="I13" s="55" t="str">
        <x:v>9917863260</x:v>
      </x:c>
      <x:c r="J13" s="55" t="str">
        <x:v>Green</x:v>
      </x:c>
      <x:c r="K13" s="55" t="str"/>
      <x:c r="L13" s="57" t="str">
        <x:v>Ortahisar / Trabzon</x:v>
      </x:c>
    </x:row>
    <x:row r="14">
      <x:c r="A14" s="23" t="str">
        <x:v>FERAY</x:v>
      </x:c>
      <x:c r="B14" s="23" t="str">
        <x:v>KOÇ</x:v>
      </x:c>
      <x:c r="C14" s="26" t="str">
        <x:v>CHD</x:v>
      </x:c>
      <x:c r="D14" s="26" t="str">
        <x:v>Double</x:v>
      </x:c>
      <x:c r="E14" s="26" t="str">
        <x:v>Children</x:v>
      </x:c>
      <x:c r="F14" s="36" t="str">
        <x:v>69280016734</x:v>
      </x:c>
      <x:c r="G14" s="37" t="n">
        <x:v>43428.61881357639</x:v>
      </x:c>
      <x:c r="H14" s="36" t="str">
        <x:v>90 555 094 66 74</x:v>
      </x:c>
      <x:c r="I14" s="36" t="str">
        <x:v>6303513834</x:v>
      </x:c>
      <x:c r="J14" s="36" t="str">
        <x:v>Red</x:v>
      </x:c>
      <x:c r="K14" s="36" t="str">
        <x:v>299995707</x:v>
      </x:c>
      <x:c r="L14" s="41" t="str">
        <x:v>Ortahisar / Trabzon</x:v>
      </x:c>
    </x:row>
    <x:row r="15">
      <x:c r="A15" s="48" t="str">
        <x:v>GİZEM</x:v>
      </x:c>
      <x:c r="B15" s="48" t="str">
        <x:v>KURT</x:v>
      </x:c>
      <x:c r="C15" s="49" t="str">
        <x:v>MRS</x:v>
      </x:c>
      <x:c r="D15" s="49" t="str">
        <x:v>Double</x:v>
      </x:c>
      <x:c r="E15" s="49" t="str">
        <x:v>Adult</x:v>
      </x:c>
      <x:c r="F15" s="50" t="str">
        <x:v>38186138374</x:v>
      </x:c>
      <x:c r="G15" s="51" t="n">
        <x:v>26052.13454375</x:v>
      </x:c>
      <x:c r="H15" s="50" t="str">
        <x:v>90 531 300 11 51</x:v>
      </x:c>
      <x:c r="I15" s="50" t="str">
        <x:v>2222089567</x:v>
      </x:c>
      <x:c r="J15" s="50" t="str">
        <x:v>Green</x:v>
      </x:c>
      <x:c r="K15" s="50" t="str"/>
      <x:c r="L15" s="52" t="str">
        <x:v>Şehitkamil / Gaziantep</x:v>
      </x:c>
    </x:row>
    <x:row r="16">
      <x:c r="A16" s="43" t="str">
        <x:v>HANDE</x:v>
      </x:c>
      <x:c r="B16" s="43" t="str">
        <x:v>KURT</x:v>
      </x:c>
      <x:c r="C16" s="44" t="str">
        <x:v>MRS</x:v>
      </x:c>
      <x:c r="D16" s="44" t="str">
        <x:v>Double</x:v>
      </x:c>
      <x:c r="E16" s="44" t="str">
        <x:v>Adult</x:v>
      </x:c>
      <x:c r="F16" s="45" t="str">
        <x:v>48257004921</x:v>
      </x:c>
      <x:c r="G16" s="46" t="n">
        <x:v>29933.153538530092</x:v>
      </x:c>
      <x:c r="H16" s="45" t="str">
        <x:v>90 531 300 11 51</x:v>
      </x:c>
      <x:c r="I16" s="45" t="str">
        <x:v>2929583125</x:v>
      </x:c>
      <x:c r="J16" s="45" t="str">
        <x:v>Red</x:v>
      </x:c>
      <x:c r="K16" s="45" t="str">
        <x:v>367186118</x:v>
      </x:c>
      <x:c r="L16" s="47" t="str">
        <x:v>Şehitkamil / Gaziantep</x:v>
      </x:c>
    </x:row>
    <x:row r="17">
      <x:c r="A17" s="53" t="str">
        <x:v>HAKAN</x:v>
      </x:c>
      <x:c r="B17" s="53" t="str">
        <x:v>ÖZKAN</x:v>
      </x:c>
      <x:c r="C17" s="54" t="str">
        <x:v>MR</x:v>
      </x:c>
      <x:c r="D17" s="54" t="str">
        <x:v>Double</x:v>
      </x:c>
      <x:c r="E17" s="54" t="str">
        <x:v>Adult</x:v>
      </x:c>
      <x:c r="F17" s="55" t="str">
        <x:v>12866167208</x:v>
      </x:c>
      <x:c r="G17" s="56" t="n">
        <x:v>25851.645781238425</x:v>
      </x:c>
      <x:c r="H17" s="55" t="str">
        <x:v>90 535 884 20 82</x:v>
      </x:c>
      <x:c r="I17" s="55" t="str">
        <x:v>1145447494</x:v>
      </x:c>
      <x:c r="J17" s="55" t="str">
        <x:v>Green</x:v>
      </x:c>
      <x:c r="K17" s="55" t="str"/>
      <x:c r="L17" s="57" t="str">
        <x:v>Kadıköy / İstanbul</x:v>
      </x:c>
    </x:row>
    <x:row r="18">
      <x:c r="A18" s="23" t="str">
        <x:v>İREM</x:v>
      </x:c>
      <x:c r="B18" s="23" t="str">
        <x:v>ÖZKAN</x:v>
      </x:c>
      <x:c r="C18" s="26" t="str">
        <x:v>MRS</x:v>
      </x:c>
      <x:c r="D18" s="26" t="str">
        <x:v>Double</x:v>
      </x:c>
      <x:c r="E18" s="26" t="str">
        <x:v>Adult</x:v>
      </x:c>
      <x:c r="F18" s="36" t="str">
        <x:v>85388376368</x:v>
      </x:c>
      <x:c r="G18" s="37" t="n">
        <x:v>27736.999894895835</x:v>
      </x:c>
      <x:c r="H18" s="36" t="str">
        <x:v>90 535 884 20 82</x:v>
      </x:c>
      <x:c r="I18" s="36" t="str">
        <x:v>1244923998</x:v>
      </x:c>
      <x:c r="J18" s="36" t="str">
        <x:v>Green</x:v>
      </x:c>
      <x:c r="K18" s="36" t="str"/>
      <x:c r="L18" s="41" t="str">
        <x:v>Kadıköy / İstanbul</x:v>
      </x:c>
    </x:row>
    <x:row r="19">
      <x:c r="A19" s="48" t="str">
        <x:v>İLKER</x:v>
      </x:c>
      <x:c r="B19" s="48" t="str">
        <x:v>POLAT</x:v>
      </x:c>
      <x:c r="C19" s="49" t="str">
        <x:v>MR</x:v>
      </x:c>
      <x:c r="D19" s="49" t="str">
        <x:v>Double</x:v>
      </x:c>
      <x:c r="E19" s="49" t="str">
        <x:v>Adult</x:v>
      </x:c>
      <x:c r="F19" s="50" t="str">
        <x:v>34664950382</x:v>
      </x:c>
      <x:c r="G19" s="51" t="n">
        <x:v>24961.24578013889</x:v>
      </x:c>
      <x:c r="H19" s="50" t="str">
        <x:v>90 542 252 16 04</x:v>
      </x:c>
      <x:c r="I19" s="50" t="str">
        <x:v>9613993829</x:v>
      </x:c>
      <x:c r="J19" s="50" t="str">
        <x:v>Red</x:v>
      </x:c>
      <x:c r="K19" s="50" t="str">
        <x:v>158441583</x:v>
      </x:c>
      <x:c r="L19" s="52" t="str">
        <x:v>Çankaya / Ankara</x:v>
      </x:c>
    </x:row>
    <x:row r="20">
      <x:c r="A20" s="43" t="str">
        <x:v>KAAN</x:v>
      </x:c>
      <x:c r="B20" s="43" t="str">
        <x:v>POLAT</x:v>
      </x:c>
      <x:c r="C20" s="44" t="str">
        <x:v>MR</x:v>
      </x:c>
      <x:c r="D20" s="44" t="str">
        <x:v>Double</x:v>
      </x:c>
      <x:c r="E20" s="44" t="str">
        <x:v>Adult</x:v>
      </x:c>
      <x:c r="F20" s="45" t="str">
        <x:v>86761487891</x:v>
      </x:c>
      <x:c r="G20" s="46" t="n">
        <x:v>35719.60678947916</x:v>
      </x:c>
      <x:c r="H20" s="45" t="str">
        <x:v>90 542 252 16 04</x:v>
      </x:c>
      <x:c r="I20" s="45" t="str">
        <x:v>1003559099</x:v>
      </x:c>
      <x:c r="J20" s="45" t="str">
        <x:v>Red</x:v>
      </x:c>
      <x:c r="K20" s="45" t="str">
        <x:v>244383483</x:v>
      </x:c>
      <x:c r="L20" s="47" t="str">
        <x:v>Çankaya / Ankara</x:v>
      </x:c>
    </x:row>
    <x:row r="21">
      <x:c r="A21" s="53" t="str">
        <x:v>JALE</x:v>
      </x:c>
      <x:c r="B21" s="53" t="str">
        <x:v>SAĞLAM</x:v>
      </x:c>
      <x:c r="C21" s="54" t="str">
        <x:v>MRS</x:v>
      </x:c>
      <x:c r="D21" s="54" t="str">
        <x:v>Double</x:v>
      </x:c>
      <x:c r="E21" s="54" t="str">
        <x:v>Adult</x:v>
      </x:c>
      <x:c r="F21" s="55" t="str">
        <x:v>19336520845</x:v>
      </x:c>
      <x:c r="G21" s="56" t="n">
        <x:v>31166.381841805556</x:v>
      </x:c>
      <x:c r="H21" s="55" t="str">
        <x:v>90 539 032 86 50</x:v>
      </x:c>
      <x:c r="I21" s="55" t="str">
        <x:v>2902812321</x:v>
      </x:c>
      <x:c r="J21" s="55" t="str">
        <x:v>Green</x:v>
      </x:c>
      <x:c r="K21" s="55" t="str"/>
      <x:c r="L21" s="57" t="str">
        <x:v>Konak / İzmir</x:v>
      </x:c>
    </x:row>
    <x:row r="22">
      <x:c r="A22" s="23" t="str">
        <x:v>LALE</x:v>
      </x:c>
      <x:c r="B22" s="23" t="str">
        <x:v>SAĞLAM</x:v>
      </x:c>
      <x:c r="C22" s="26" t="str">
        <x:v>MRS</x:v>
      </x:c>
      <x:c r="D22" s="26" t="str">
        <x:v>Double</x:v>
      </x:c>
      <x:c r="E22" s="26" t="str">
        <x:v>Adult</x:v>
      </x:c>
      <x:c r="F22" s="36" t="str">
        <x:v>35258795023</x:v>
      </x:c>
      <x:c r="G22" s="37" t="n">
        <x:v>36719.40529127315</x:v>
      </x:c>
      <x:c r="H22" s="36" t="str">
        <x:v>90 539 032 86 50</x:v>
      </x:c>
      <x:c r="I22" s="36" t="str">
        <x:v>6095079153</x:v>
      </x:c>
      <x:c r="J22" s="36" t="str">
        <x:v>Green</x:v>
      </x:c>
      <x:c r="K22" s="36" t="str"/>
      <x:c r="L22" s="41" t="str">
        <x:v>Konak / İzmir</x:v>
      </x:c>
    </x:row>
    <x:row r="23">
      <x:c r="A23" s="48" t="str">
        <x:v>LEVENT</x:v>
      </x:c>
      <x:c r="B23" s="48" t="str">
        <x:v>ŞAHİN</x:v>
      </x:c>
      <x:c r="C23" s="49" t="str">
        <x:v>MR</x:v>
      </x:c>
      <x:c r="D23" s="49" t="str">
        <x:v>Double</x:v>
      </x:c>
      <x:c r="E23" s="49" t="str">
        <x:v>Adult</x:v>
      </x:c>
      <x:c r="F23" s="50" t="str">
        <x:v>66075386306</x:v>
      </x:c>
      <x:c r="G23" s="51" t="n">
        <x:v>26694.58854190972</x:v>
      </x:c>
      <x:c r="H23" s="50" t="str">
        <x:v>90 537 923 11 58</x:v>
      </x:c>
      <x:c r="I23" s="50" t="str">
        <x:v>1033938914</x:v>
      </x:c>
      <x:c r="J23" s="50" t="str">
        <x:v>Green</x:v>
      </x:c>
      <x:c r="K23" s="50" t="str"/>
      <x:c r="L23" s="52" t="str">
        <x:v>Nilüfer / Bursa</x:v>
      </x:c>
    </x:row>
    <x:row r="24">
      <x:c r="A24" s="43" t="str">
        <x:v>MELİS</x:v>
      </x:c>
      <x:c r="B24" s="43" t="str">
        <x:v>ŞAHİN</x:v>
      </x:c>
      <x:c r="C24" s="44" t="str">
        <x:v>MRS</x:v>
      </x:c>
      <x:c r="D24" s="44" t="str">
        <x:v>Double</x:v>
      </x:c>
      <x:c r="E24" s="44" t="str">
        <x:v>Adult</x:v>
      </x:c>
      <x:c r="F24" s="45" t="str">
        <x:v>83270996572</x:v>
      </x:c>
      <x:c r="G24" s="46" t="n">
        <x:v>33688.61826434028</x:v>
      </x:c>
      <x:c r="H24" s="45" t="str">
        <x:v>90 537 923 11 58</x:v>
      </x:c>
      <x:c r="I24" s="45" t="str">
        <x:v>4692095352</x:v>
      </x:c>
      <x:c r="J24" s="45" t="str">
        <x:v>Green</x:v>
      </x:c>
      <x:c r="K24" s="45" t="str"/>
      <x:c r="L24" s="47" t="str">
        <x:v>Nilüfer / Bursa</x:v>
      </x:c>
    </x:row>
    <x:row r="25">
      <x:c r="A25" s="53" t="str">
        <x:v>NAZAN</x:v>
      </x:c>
      <x:c r="B25" s="53" t="str">
        <x:v>TAŞÇI</x:v>
      </x:c>
      <x:c r="C25" s="54" t="str">
        <x:v>MRS</x:v>
      </x:c>
      <x:c r="D25" s="54" t="str">
        <x:v>Double</x:v>
      </x:c>
      <x:c r="E25" s="54" t="str">
        <x:v>Adult</x:v>
      </x:c>
      <x:c r="F25" s="55" t="str">
        <x:v>35023053380</x:v>
      </x:c>
      <x:c r="G25" s="56" t="n">
        <x:v>27603.320169675924</x:v>
      </x:c>
      <x:c r="H25" s="55" t="str">
        <x:v>90 531 063 67 59</x:v>
      </x:c>
      <x:c r="I25" s="55" t="str">
        <x:v>7593251855</x:v>
      </x:c>
      <x:c r="J25" s="55" t="str">
        <x:v>Green</x:v>
      </x:c>
      <x:c r="K25" s="55" t="str"/>
      <x:c r="L25" s="57" t="str">
        <x:v>Muratpaşa / Antalya</x:v>
      </x:c>
    </x:row>
    <x:row r="26">
      <x:c r="A26" s="23" t="str">
        <x:v>MERT CAN</x:v>
      </x:c>
      <x:c r="B26" s="23" t="str">
        <x:v>TAŞÇI</x:v>
      </x:c>
      <x:c r="C26" s="26" t="str">
        <x:v>MR</x:v>
      </x:c>
      <x:c r="D26" s="26" t="str">
        <x:v>Double</x:v>
      </x:c>
      <x:c r="E26" s="26" t="str">
        <x:v>Adult</x:v>
      </x:c>
      <x:c r="F26" s="36" t="str">
        <x:v>60193785659</x:v>
      </x:c>
      <x:c r="G26" s="37" t="n">
        <x:v>26506.570269456017</x:v>
      </x:c>
      <x:c r="H26" s="36" t="str">
        <x:v>90 531 063 67 59</x:v>
      </x:c>
      <x:c r="I26" s="36" t="str">
        <x:v>9739821082</x:v>
      </x:c>
      <x:c r="J26" s="36" t="str">
        <x:v>Red</x:v>
      </x:c>
      <x:c r="K26" s="36" t="str">
        <x:v>171684986</x:v>
      </x:c>
      <x:c r="L26" s="41" t="str">
        <x:v>Muratpaşa / Antalya</x:v>
      </x:c>
    </x:row>
    <x:row r="27">
      <x:c r="A27" s="48" t="str">
        <x:v>OĞUZ</x:v>
      </x:c>
      <x:c r="B27" s="48" t="str">
        <x:v>TEKİN</x:v>
      </x:c>
      <x:c r="C27" s="49" t="str">
        <x:v>MR</x:v>
      </x:c>
      <x:c r="D27" s="49" t="str">
        <x:v>Triple</x:v>
      </x:c>
      <x:c r="E27" s="49" t="str">
        <x:v>Adult</x:v>
      </x:c>
      <x:c r="F27" s="50" t="str">
        <x:v>59675761549</x:v>
      </x:c>
      <x:c r="G27" s="51" t="n">
        <x:v>37554.00163486111</x:v>
      </x:c>
      <x:c r="H27" s="50" t="str">
        <x:v>90 536 673 97 11</x:v>
      </x:c>
      <x:c r="I27" s="50" t="str">
        <x:v>8503472483</x:v>
      </x:c>
      <x:c r="J27" s="50" t="str">
        <x:v>Red</x:v>
      </x:c>
      <x:c r="K27" s="50" t="str">
        <x:v>332312180</x:v>
      </x:c>
      <x:c r="L27" s="52" t="str">
        <x:v>Tepebaşı / Eskişehir</x:v>
      </x:c>
    </x:row>
    <x:row r="28">
      <x:c r="A28" s="43" t="str">
        <x:v>PELİN</x:v>
      </x:c>
      <x:c r="B28" s="43" t="str">
        <x:v>TEKİN</x:v>
      </x:c>
      <x:c r="C28" s="44" t="str">
        <x:v>MRS</x:v>
      </x:c>
      <x:c r="D28" s="44" t="str">
        <x:v>Triple</x:v>
      </x:c>
      <x:c r="E28" s="44" t="str">
        <x:v>Adult</x:v>
      </x:c>
      <x:c r="F28" s="45" t="str">
        <x:v>38948876703</x:v>
      </x:c>
      <x:c r="G28" s="46" t="n">
        <x:v>26700.990374375</x:v>
      </x:c>
      <x:c r="H28" s="45" t="str">
        <x:v>90 536 673 97 11</x:v>
      </x:c>
      <x:c r="I28" s="45" t="str">
        <x:v>2078155949</x:v>
      </x:c>
      <x:c r="J28" s="45" t="str">
        <x:v>Green</x:v>
      </x:c>
      <x:c r="K28" s="45" t="str"/>
      <x:c r="L28" s="47" t="str">
        <x:v>Tepebaşı / Eskişehir</x:v>
      </x:c>
    </x:row>
    <x:row r="29">
      <x:c r="A29" s="43" t="str">
        <x:v>ONUR</x:v>
      </x:c>
      <x:c r="B29" s="43" t="str">
        <x:v>TEKİN</x:v>
      </x:c>
      <x:c r="C29" s="44" t="str">
        <x:v>CHD</x:v>
      </x:c>
      <x:c r="D29" s="44" t="str">
        <x:v>Triple</x:v>
      </x:c>
      <x:c r="E29" s="44" t="str">
        <x:v>Children</x:v>
      </x:c>
      <x:c r="F29" s="45" t="str">
        <x:v>11214007284</x:v>
      </x:c>
      <x:c r="G29" s="46" t="n">
        <x:v>43564.49560189815</x:v>
      </x:c>
      <x:c r="H29" s="45" t="str">
        <x:v>90 536 673 97 11</x:v>
      </x:c>
      <x:c r="I29" s="45" t="str">
        <x:v>6542104515</x:v>
      </x:c>
      <x:c r="J29" s="45" t="str">
        <x:v>Green</x:v>
      </x:c>
      <x:c r="K29" s="45" t="str"/>
      <x:c r="L29" s="47" t="str">
        <x:v>Tepebaşı / Eskişehir</x:v>
      </x:c>
    </x:row>
    <x:row r="30">
      <x:c r="A30" s="53" t="str">
        <x:v>RÜYA</x:v>
      </x:c>
      <x:c r="B30" s="53" t="str">
        <x:v>TOPRAK</x:v>
      </x:c>
      <x:c r="C30" s="54" t="str">
        <x:v>MRS</x:v>
      </x:c>
      <x:c r="D30" s="54" t="str">
        <x:v>Triple</x:v>
      </x:c>
      <x:c r="E30" s="54" t="str">
        <x:v>Adult</x:v>
      </x:c>
      <x:c r="F30" s="55" t="str">
        <x:v>50539718138</x:v>
      </x:c>
      <x:c r="G30" s="56" t="n">
        <x:v>25033.37903116898</x:v>
      </x:c>
      <x:c r="H30" s="55" t="str">
        <x:v>90 531 845 40 91</x:v>
      </x:c>
      <x:c r="I30" s="55" t="str">
        <x:v>5996815913</x:v>
      </x:c>
      <x:c r="J30" s="55" t="str">
        <x:v>Green</x:v>
      </x:c>
      <x:c r="K30" s="55" t="str"/>
      <x:c r="L30" s="57" t="str">
        <x:v>Atakum / Samsun</x:v>
      </x:c>
    </x:row>
    <x:row r="31">
      <x:c r="A31" s="23" t="str">
        <x:v>RIZA</x:v>
      </x:c>
      <x:c r="B31" s="23" t="str">
        <x:v>TOPRAK</x:v>
      </x:c>
      <x:c r="C31" s="26" t="str">
        <x:v>MR</x:v>
      </x:c>
      <x:c r="D31" s="26" t="str">
        <x:v>Triple</x:v>
      </x:c>
      <x:c r="E31" s="26" t="str">
        <x:v>Adult</x:v>
      </x:c>
      <x:c r="F31" s="36" t="str">
        <x:v>96659630833</x:v>
      </x:c>
      <x:c r="G31" s="37" t="n">
        <x:v>26310.963172627315</x:v>
      </x:c>
      <x:c r="H31" s="36" t="str">
        <x:v>90 531 845 40 91</x:v>
      </x:c>
      <x:c r="I31" s="36" t="str">
        <x:v>5883814424</x:v>
      </x:c>
      <x:c r="J31" s="36" t="str">
        <x:v>Red</x:v>
      </x:c>
      <x:c r="K31" s="36" t="str">
        <x:v>800105368</x:v>
      </x:c>
      <x:c r="L31" s="41" t="str">
        <x:v>Atakum / Samsun</x:v>
      </x:c>
    </x:row>
    <x:row r="32">
      <x:c r="A32" s="23" t="str">
        <x:v>SELİN</x:v>
      </x:c>
      <x:c r="B32" s="23" t="str">
        <x:v>TOPRAK</x:v>
      </x:c>
      <x:c r="C32" s="26" t="str">
        <x:v>CHD</x:v>
      </x:c>
      <x:c r="D32" s="26" t="str">
        <x:v>Triple</x:v>
      </x:c>
      <x:c r="E32" s="26" t="str">
        <x:v>Children</x:v>
      </x:c>
      <x:c r="F32" s="36" t="str">
        <x:v>53472859173</x:v>
      </x:c>
      <x:c r="G32" s="37" t="n">
        <x:v>41459.5467775</x:v>
      </x:c>
      <x:c r="H32" s="36" t="str">
        <x:v>90 531 845 40 91</x:v>
      </x:c>
      <x:c r="I32" s="36" t="str">
        <x:v>5197834834</x:v>
      </x:c>
      <x:c r="J32" s="36" t="str">
        <x:v>Green</x:v>
      </x:c>
      <x:c r="K32" s="36" t="str"/>
      <x:c r="L32" s="41" t="str">
        <x:v>Atakum / Samsun</x:v>
      </x:c>
    </x:row>
    <x:row r="33">
      <x:c r="A33" s="48" t="str">
        <x:v>SELÇUK</x:v>
      </x:c>
      <x:c r="B33" s="48" t="str">
        <x:v>UÇAR</x:v>
      </x:c>
      <x:c r="C33" s="49" t="str">
        <x:v>MR</x:v>
      </x:c>
      <x:c r="D33" s="49" t="str">
        <x:v>Triple</x:v>
      </x:c>
      <x:c r="E33" s="49" t="str">
        <x:v>Adult</x:v>
      </x:c>
      <x:c r="F33" s="50" t="str">
        <x:v>96324748163</x:v>
      </x:c>
      <x:c r="G33" s="51" t="n">
        <x:v>37758.77740561343</x:v>
      </x:c>
      <x:c r="H33" s="50" t="str">
        <x:v>90 555 030 41 40</x:v>
      </x:c>
      <x:c r="I33" s="50" t="str">
        <x:v>7582889597</x:v>
      </x:c>
      <x:c r="J33" s="50" t="str">
        <x:v>Red</x:v>
      </x:c>
      <x:c r="K33" s="50" t="str">
        <x:v>599466654</x:v>
      </x:c>
      <x:c r="L33" s="52" t="str">
        <x:v>Selçuklu / Konya</x:v>
      </x:c>
    </x:row>
    <x:row r="34">
      <x:c r="A34" s="43" t="str">
        <x:v>TUĞÇE</x:v>
      </x:c>
      <x:c r="B34" s="43" t="str">
        <x:v>UÇAR</x:v>
      </x:c>
      <x:c r="C34" s="44" t="str">
        <x:v>MRS</x:v>
      </x:c>
      <x:c r="D34" s="44" t="str">
        <x:v>Triple</x:v>
      </x:c>
      <x:c r="E34" s="44" t="str">
        <x:v>Adult</x:v>
      </x:c>
      <x:c r="F34" s="45" t="str">
        <x:v>38565701691</x:v>
      </x:c>
      <x:c r="G34" s="46" t="n">
        <x:v>20199.25054880787</x:v>
      </x:c>
      <x:c r="H34" s="45" t="str">
        <x:v>90 555 030 41 40</x:v>
      </x:c>
      <x:c r="I34" s="45" t="str">
        <x:v>2793762565</x:v>
      </x:c>
      <x:c r="J34" s="45" t="str">
        <x:v>Green</x:v>
      </x:c>
      <x:c r="K34" s="45" t="str"/>
      <x:c r="L34" s="47" t="str">
        <x:v>Selçuklu / Konya</x:v>
      </x:c>
    </x:row>
    <x:row r="35">
      <x:c r="A35" s="43" t="str">
        <x:v>YASEMİN</x:v>
      </x:c>
      <x:c r="B35" s="43" t="str">
        <x:v>UÇAR</x:v>
      </x:c>
      <x:c r="C35" s="44" t="str">
        <x:v>CHD</x:v>
      </x:c>
      <x:c r="D35" s="44" t="str">
        <x:v>Triple</x:v>
      </x:c>
      <x:c r="E35" s="44" t="str">
        <x:v>Infant</x:v>
      </x:c>
      <x:c r="F35" s="45" t="str">
        <x:v>35685341735</x:v>
      </x:c>
      <x:c r="G35" s="46" t="n">
        <x:v>45089.07475371528</x:v>
      </x:c>
      <x:c r="H35" s="45" t="str">
        <x:v>90 555 030 41 40</x:v>
      </x:c>
      <x:c r="I35" s="45" t="str">
        <x:v>4337132533</x:v>
      </x:c>
      <x:c r="J35" s="45" t="str">
        <x:v>Green</x:v>
      </x:c>
      <x:c r="K35" s="45" t="str"/>
      <x:c r="L35" s="47" t="str">
        <x:v>Selçuklu / Konya</x:v>
      </x:c>
    </x:row>
    <x:row r="36">
      <x:c r="A36" s="53" t="str">
        <x:v>ZEYNEP</x:v>
      </x:c>
      <x:c r="B36" s="53" t="str">
        <x:v>YILDIRIM</x:v>
      </x:c>
      <x:c r="C36" s="54" t="str">
        <x:v>MRS</x:v>
      </x:c>
      <x:c r="D36" s="54" t="str">
        <x:v>Triple</x:v>
      </x:c>
      <x:c r="E36" s="54" t="str">
        <x:v>Adult</x:v>
      </x:c>
      <x:c r="F36" s="55" t="str">
        <x:v>72317941815</x:v>
      </x:c>
      <x:c r="G36" s="56" t="n">
        <x:v>25866.90775820602</x:v>
      </x:c>
      <x:c r="H36" s="55" t="str">
        <x:v>90 544 247 67 78</x:v>
      </x:c>
      <x:c r="I36" s="55" t="str">
        <x:v>3267584148</x:v>
      </x:c>
      <x:c r="J36" s="55" t="str">
        <x:v>Green</x:v>
      </x:c>
      <x:c r="K36" s="55" t="str"/>
      <x:c r="L36" s="57" t="str">
        <x:v>Ortahisar / Trabzon</x:v>
      </x:c>
    </x:row>
    <x:row r="37">
      <x:c r="A37" s="23" t="str">
        <x:v>TOLGA</x:v>
      </x:c>
      <x:c r="B37" s="23" t="str">
        <x:v>YILDIRIM</x:v>
      </x:c>
      <x:c r="C37" s="26" t="str">
        <x:v>CHD</x:v>
      </x:c>
      <x:c r="D37" s="26" t="str">
        <x:v>Triple</x:v>
      </x:c>
      <x:c r="E37" s="26" t="str">
        <x:v>Children</x:v>
      </x:c>
      <x:c r="F37" s="36" t="str">
        <x:v>48483039144</x:v>
      </x:c>
      <x:c r="G37" s="37" t="n">
        <x:v>43204.57749373843</x:v>
      </x:c>
      <x:c r="H37" s="36" t="str">
        <x:v>90 544 247 67 78</x:v>
      </x:c>
      <x:c r="I37" s="36" t="str">
        <x:v>1386238280</x:v>
      </x:c>
      <x:c r="J37" s="36" t="str">
        <x:v>Red</x:v>
      </x:c>
      <x:c r="K37" s="36" t="str">
        <x:v>534975294</x:v>
      </x:c>
      <x:c r="L37" s="41" t="str">
        <x:v>Ortahisar / Trabzon</x:v>
      </x:c>
    </x:row>
    <x:row r="38">
      <x:c r="A38" s="23" t="str">
        <x:v>ASLI</x:v>
      </x:c>
      <x:c r="B38" s="23" t="str">
        <x:v>YILDIRIM</x:v>
      </x:c>
      <x:c r="C38" s="26" t="str">
        <x:v>CHD</x:v>
      </x:c>
      <x:c r="D38" s="26" t="str">
        <x:v>Triple</x:v>
      </x:c>
      <x:c r="E38" s="26" t="str">
        <x:v>Children</x:v>
      </x:c>
      <x:c r="F38" s="36" t="str">
        <x:v>59532183962</x:v>
      </x:c>
      <x:c r="G38" s="37" t="n">
        <x:v>43793.03443907407</x:v>
      </x:c>
      <x:c r="H38" s="36" t="str">
        <x:v>90 544 247 67 78</x:v>
      </x:c>
      <x:c r="I38" s="36" t="str">
        <x:v>9287571311</x:v>
      </x:c>
      <x:c r="J38" s="36" t="str">
        <x:v>Red</x:v>
      </x:c>
      <x:c r="K38" s="36" t="str">
        <x:v>673514359</x:v>
      </x:c>
      <x:c r="L38" s="41" t="str">
        <x:v>Ortahisar / Trabzon</x:v>
      </x:c>
    </x:row>
    <x:row r="39">
      <x:c r="A39" s="48" t="str">
        <x:v>UMUT</x:v>
      </x:c>
      <x:c r="B39" s="48" t="str">
        <x:v>AKSOY</x:v>
      </x:c>
      <x:c r="C39" s="49" t="str">
        <x:v>MR</x:v>
      </x:c>
      <x:c r="D39" s="49" t="str">
        <x:v>Triple</x:v>
      </x:c>
      <x:c r="E39" s="49" t="str">
        <x:v>Adult</x:v>
      </x:c>
      <x:c r="F39" s="50" t="str">
        <x:v>12411423088</x:v>
      </x:c>
      <x:c r="G39" s="51" t="n">
        <x:v>19271.961366967593</x:v>
      </x:c>
      <x:c r="H39" s="50" t="str">
        <x:v>90 534 725 94 95</x:v>
      </x:c>
      <x:c r="I39" s="50" t="str">
        <x:v>4280260142</x:v>
      </x:c>
      <x:c r="J39" s="50" t="str">
        <x:v>Red</x:v>
      </x:c>
      <x:c r="K39" s="50" t="str">
        <x:v>416968721</x:v>
      </x:c>
      <x:c r="L39" s="52" t="str">
        <x:v>Şehitkamil / Gaziantep</x:v>
      </x:c>
    </x:row>
    <x:row r="40">
      <x:c r="A40" s="43" t="str">
        <x:v>DEFNE</x:v>
      </x:c>
      <x:c r="B40" s="43" t="str">
        <x:v>AKSOY</x:v>
      </x:c>
      <x:c r="C40" s="44" t="str">
        <x:v>MRS</x:v>
      </x:c>
      <x:c r="D40" s="44" t="str">
        <x:v>Triple</x:v>
      </x:c>
      <x:c r="E40" s="44" t="str">
        <x:v>Adult</x:v>
      </x:c>
      <x:c r="F40" s="45" t="str">
        <x:v>22643184360</x:v>
      </x:c>
      <x:c r="G40" s="46" t="n">
        <x:v>19161.106682986112</x:v>
      </x:c>
      <x:c r="H40" s="45" t="str">
        <x:v>90 534 725 94 95</x:v>
      </x:c>
      <x:c r="I40" s="45" t="str">
        <x:v>6580601378</x:v>
      </x:c>
      <x:c r="J40" s="45" t="str">
        <x:v>Green</x:v>
      </x:c>
      <x:c r="K40" s="45" t="str"/>
      <x:c r="L40" s="47" t="str">
        <x:v>Şehitkamil / Gaziantep</x:v>
      </x:c>
    </x:row>
    <x:row r="41">
      <x:c r="A41" s="43" t="str">
        <x:v>VOLKAN</x:v>
      </x:c>
      <x:c r="B41" s="43" t="str">
        <x:v>AKSOY</x:v>
      </x:c>
      <x:c r="C41" s="44" t="str">
        <x:v>CHD</x:v>
      </x:c>
      <x:c r="D41" s="44" t="str">
        <x:v>Triple</x:v>
      </x:c>
      <x:c r="E41" s="44" t="str">
        <x:v>Infant</x:v>
      </x:c>
      <x:c r="F41" s="45" t="str">
        <x:v>84555817381</x:v>
      </x:c>
      <x:c r="G41" s="46" t="n">
        <x:v>45039.76794424769</x:v>
      </x:c>
      <x:c r="H41" s="45" t="str">
        <x:v>90 534 725 94 95</x:v>
      </x:c>
      <x:c r="I41" s="45" t="str">
        <x:v>1141265247</x:v>
      </x:c>
      <x:c r="J41" s="45" t="str">
        <x:v>Green</x:v>
      </x:c>
      <x:c r="K41" s="45" t="str"/>
      <x:c r="L41" s="47" t="str">
        <x:v>Şehitkamil / Gaziantep</x:v>
      </x:c>
    </x:row>
    <x:row r="42">
      <x:c r="A42" s="53" t="str">
        <x:v>YALÇIN</x:v>
      </x:c>
      <x:c r="B42" s="53" t="str">
        <x:v>AYDIN</x:v>
      </x:c>
      <x:c r="C42" s="54" t="str">
        <x:v>MR</x:v>
      </x:c>
      <x:c r="D42" s="54" t="str">
        <x:v>Twin</x:v>
      </x:c>
      <x:c r="E42" s="54" t="str">
        <x:v>Adult</x:v>
      </x:c>
      <x:c r="F42" s="55" t="str">
        <x:v>18698346056</x:v>
      </x:c>
      <x:c r="G42" s="56" t="n">
        <x:v>29997.016932708335</x:v>
      </x:c>
      <x:c r="H42" s="55" t="str">
        <x:v>90 554 607 60 90</x:v>
      </x:c>
      <x:c r="I42" s="55" t="str">
        <x:v>5997897497</x:v>
      </x:c>
      <x:c r="J42" s="55" t="str">
        <x:v>Green</x:v>
      </x:c>
      <x:c r="K42" s="55" t="str"/>
      <x:c r="L42" s="57" t="str">
        <x:v>Kadıköy / İstanbul</x:v>
      </x:c>
    </x:row>
    <x:row r="43">
      <x:c r="A43" s="23" t="str">
        <x:v>ELİF</x:v>
      </x:c>
      <x:c r="B43" s="23" t="str">
        <x:v>AYDIN</x:v>
      </x:c>
      <x:c r="C43" s="26" t="str">
        <x:v>MRS</x:v>
      </x:c>
      <x:c r="D43" s="26" t="str">
        <x:v>Twin</x:v>
      </x:c>
      <x:c r="E43" s="26" t="str">
        <x:v>Adult</x:v>
      </x:c>
      <x:c r="F43" s="36" t="str">
        <x:v>71541964827</x:v>
      </x:c>
      <x:c r="G43" s="37" t="n">
        <x:v>38938.71332870371</x:v>
      </x:c>
      <x:c r="H43" s="36" t="str">
        <x:v>90 554 607 60 90</x:v>
      </x:c>
      <x:c r="I43" s="36" t="str">
        <x:v>1769010561</x:v>
      </x:c>
      <x:c r="J43" s="36" t="str">
        <x:v>Green</x:v>
      </x:c>
      <x:c r="K43" s="36" t="str"/>
      <x:c r="L43" s="41" t="str">
        <x:v>Kadıköy / İstanbul</x:v>
      </x:c>
    </x:row>
    <x:row r="44">
      <x:c r="A44" s="48" t="str">
        <x:v>LİNA</x:v>
      </x:c>
      <x:c r="B44" s="48" t="str">
        <x:v>BAYRAKTAR</x:v>
      </x:c>
      <x:c r="C44" s="49" t="str">
        <x:v>MRS</x:v>
      </x:c>
      <x:c r="D44" s="49" t="str">
        <x:v>Twin</x:v>
      </x:c>
      <x:c r="E44" s="49" t="str">
        <x:v>Adult</x:v>
      </x:c>
      <x:c r="F44" s="50" t="str">
        <x:v>98320991356</x:v>
      </x:c>
      <x:c r="G44" s="51" t="n">
        <x:v>30354.95030357639</x:v>
      </x:c>
      <x:c r="H44" s="50" t="str">
        <x:v>90 555 944 11 31</x:v>
      </x:c>
      <x:c r="I44" s="50" t="str">
        <x:v>3824839265</x:v>
      </x:c>
      <x:c r="J44" s="50" t="str">
        <x:v>Green</x:v>
      </x:c>
      <x:c r="K44" s="50" t="str"/>
      <x:c r="L44" s="52" t="str">
        <x:v>Çankaya / Ankara</x:v>
      </x:c>
    </x:row>
    <x:row r="45">
      <x:c r="A45" s="43" t="str">
        <x:v>ARDA</x:v>
      </x:c>
      <x:c r="B45" s="43" t="str">
        <x:v>BAYRAKTAR</x:v>
      </x:c>
      <x:c r="C45" s="44" t="str">
        <x:v>CHD</x:v>
      </x:c>
      <x:c r="D45" s="44" t="str">
        <x:v>Twin</x:v>
      </x:c>
      <x:c r="E45" s="44" t="str">
        <x:v>Children</x:v>
      </x:c>
      <x:c r="F45" s="45" t="str">
        <x:v>16886059928</x:v>
      </x:c>
      <x:c r="G45" s="46" t="n">
        <x:v>41788.984478321756</x:v>
      </x:c>
      <x:c r="H45" s="45" t="str">
        <x:v>90 555 944 11 31</x:v>
      </x:c>
      <x:c r="I45" s="45" t="str">
        <x:v>8848086334</x:v>
      </x:c>
      <x:c r="J45" s="45" t="str">
        <x:v>Red</x:v>
      </x:c>
      <x:c r="K45" s="45" t="str">
        <x:v>723415303</x:v>
      </x:c>
      <x:c r="L45" s="47" t="str">
        <x:v>Çankaya / Ankara</x:v>
      </x:c>
    </x:row>
    <x:row r="46">
      <x:c r="A46" s="53" t="str">
        <x:v>EFE</x:v>
      </x:c>
      <x:c r="B46" s="53" t="str">
        <x:v>ÇELİK</x:v>
      </x:c>
      <x:c r="C46" s="54" t="str">
        <x:v>MR</x:v>
      </x:c>
      <x:c r="D46" s="54" t="str">
        <x:v>Twin</x:v>
      </x:c>
      <x:c r="E46" s="54" t="str">
        <x:v>Adult</x:v>
      </x:c>
      <x:c r="F46" s="55" t="str">
        <x:v>11775451903</x:v>
      </x:c>
      <x:c r="G46" s="56" t="n">
        <x:v>21778.783446655092</x:v>
      </x:c>
      <x:c r="H46" s="55" t="str">
        <x:v>90 535 364 53 29</x:v>
      </x:c>
      <x:c r="I46" s="55" t="str">
        <x:v>3692095731</x:v>
      </x:c>
      <x:c r="J46" s="55" t="str">
        <x:v>Red</x:v>
      </x:c>
      <x:c r="K46" s="55" t="str">
        <x:v>733302405</x:v>
      </x:c>
      <x:c r="L46" s="57" t="str">
        <x:v>Konak / İzmir</x:v>
      </x:c>
    </x:row>
    <x:row r="47">
      <x:c r="A47" s="23" t="str">
        <x:v>MİNA</x:v>
      </x:c>
      <x:c r="B47" s="23" t="str">
        <x:v>ÇELİK</x:v>
      </x:c>
      <x:c r="C47" s="26" t="str">
        <x:v>CHD</x:v>
      </x:c>
      <x:c r="D47" s="26" t="str">
        <x:v>Twin</x:v>
      </x:c>
      <x:c r="E47" s="26" t="str">
        <x:v>Infant</x:v>
      </x:c>
      <x:c r="F47" s="36" t="str">
        <x:v>29385342562</x:v>
      </x:c>
      <x:c r="G47" s="37" t="n">
        <x:v>44781.57671163195</x:v>
      </x:c>
      <x:c r="H47" s="36" t="str">
        <x:v>90 535 364 53 29</x:v>
      </x:c>
      <x:c r="I47" s="36" t="str">
        <x:v>9060328734</x:v>
      </x:c>
      <x:c r="J47" s="36" t="str">
        <x:v>Green</x:v>
      </x:c>
      <x:c r="K47" s="36" t="str"/>
      <x:c r="L47" s="41" t="str">
        <x:v>Konak / İzmir</x:v>
      </x:c>
    </x:row>
    <x:row r="48">
      <x:c r="A48" s="48" t="str">
        <x:v>ATLAS</x:v>
      </x:c>
      <x:c r="B48" s="48" t="str">
        <x:v>DEMİRCİ</x:v>
      </x:c>
      <x:c r="C48" s="49" t="str">
        <x:v>CHD</x:v>
      </x:c>
      <x:c r="D48" s="49" t="str">
        <x:v>Twin</x:v>
      </x:c>
      <x:c r="E48" s="49" t="str">
        <x:v>Children</x:v>
      </x:c>
      <x:c r="F48" s="50" t="str">
        <x:v>59874482277</x:v>
      </x:c>
      <x:c r="G48" s="51" t="n">
        <x:v>41908.98949546296</x:v>
      </x:c>
      <x:c r="H48" s="50" t="str">
        <x:v>90 533 931 62 46</x:v>
      </x:c>
      <x:c r="I48" s="50" t="str">
        <x:v>4075066402</x:v>
      </x:c>
      <x:c r="J48" s="50" t="str">
        <x:v>Green</x:v>
      </x:c>
      <x:c r="K48" s="50" t="str"/>
      <x:c r="L48" s="52" t="str">
        <x:v>Nilüfer / Bursa</x:v>
      </x:c>
    </x:row>
    <x:row r="49">
      <x:c r="A49" s="58" t="str">
        <x:v>NEHİR</x:v>
      </x:c>
      <x:c r="B49" s="58" t="str">
        <x:v>DEMİRCİ</x:v>
      </x:c>
      <x:c r="C49" s="59" t="str">
        <x:v>CHD</x:v>
      </x:c>
      <x:c r="D49" s="59" t="str">
        <x:v>Twin</x:v>
      </x:c>
      <x:c r="E49" s="59" t="str">
        <x:v>Children</x:v>
      </x:c>
      <x:c r="F49" s="60" t="str">
        <x:v>48656230603</x:v>
      </x:c>
      <x:c r="G49" s="61" t="n">
        <x:v>41551.067297650465</x:v>
      </x:c>
      <x:c r="H49" s="60" t="str">
        <x:v>90 533 931 62 46</x:v>
      </x:c>
      <x:c r="I49" s="60" t="str">
        <x:v>2652957030</x:v>
      </x:c>
      <x:c r="J49" s="60" t="str">
        <x:v>Red</x:v>
      </x:c>
      <x:c r="K49" s="60" t="str">
        <x:v>916474105</x:v>
      </x:c>
      <x:c r="L49" s="62" t="str">
        <x:v>Nilüfer / Bursa</x:v>
      </x:c>
    </x:row>
  </x:sheetData>
  <x:dataValidations count="4">
    <x:dataValidation type="list" sqref="C2:C49">
      <x:formula1>"MR,MRS,CHD"</x:formula1>
    </x:dataValidation>
    <x:dataValidation type="list" sqref="D2:D49">
      <x:formula1>"single,Double,Triple,Twin"</x:formula1>
    </x:dataValidation>
    <x:dataValidation type="list" sqref="E2:E49">
      <x:formula1>"Adult,Children,Infant"</x:formula1>
    </x:dataValidation>
    <x:dataValidation type="list" sqref="J2:J49">
      <x:formula1>"Green,Red"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745628d8394df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30" customHeight="1">
      <x:c r="A1" s="65" t="str">
        <x:v>SENTETİK YOLCU LİSTESİ – ÖZET</x:v>
      </x:c>
      <x:c r="B1" s="65"/>
      <x:c r="C1" s="65"/>
      <x:c r="D1" s="65"/>
    </x:row>
    <x:row r="3">
      <x:c r="A3" s="74" t="str">
        <x:v>Pax Type</x:v>
      </x:c>
      <x:c r="B3" s="75" t="str">
        <x:v>Yolcu Sayısı</x:v>
      </x:c>
    </x:row>
    <x:row r="4">
      <x:c r="A4" s="78" t="str">
        <x:v>Adult</x:v>
      </x:c>
      <x:c r="B4" s="87" t="n">
        <x:f>COUNTIF('Yolcu Listesi'!$E$2:$E$49,A4)</x:f>
        <x:v>36</x:v>
      </x:c>
      <x:c r="C4" s="88"/>
      <x:c r="D4" s="88"/>
    </x:row>
    <x:row r="5">
      <x:c r="A5" s="80" t="str">
        <x:v>Children</x:v>
      </x:c>
      <x:c r="B5" s="89" t="n">
        <x:f>COUNTIF('Yolcu Listesi'!$E$2:$E$49,A5)</x:f>
        <x:v>9</x:v>
      </x:c>
      <x:c r="C5" s="88"/>
      <x:c r="D5" s="88"/>
    </x:row>
    <x:row r="6">
      <x:c r="A6" s="82" t="str">
        <x:v>Infant</x:v>
      </x:c>
      <x:c r="B6" s="90" t="n">
        <x:f>COUNTIF('Yolcu Listesi'!$E$2:$E$49,A6)</x:f>
        <x:v>3</x:v>
      </x:c>
      <x:c r="C6" s="88"/>
      <x:c r="D6" s="88"/>
    </x:row>
    <x:row r="7">
      <x:c r="B7" s="88"/>
      <x:c r="C7" s="88"/>
      <x:c r="D7" s="88"/>
    </x:row>
    <x:row r="8">
      <x:c r="A8" s="74" t="str">
        <x:v>RoomType</x:v>
      </x:c>
      <x:c r="B8" s="77" t="str">
        <x:v>Yolcu Sayısı</x:v>
      </x:c>
      <x:c r="C8" s="77" t="str">
        <x:v>Kapasite</x:v>
      </x:c>
      <x:c r="D8" s="75" t="str">
        <x:v>Oda Sayısı</x:v>
      </x:c>
    </x:row>
    <x:row r="9">
      <x:c r="A9" s="78" t="str">
        <x:v>single</x:v>
      </x:c>
      <x:c r="B9" s="91" t="n">
        <x:f>COUNTIF('Yolcu Listesi'!$D$2:$D$49,A9)</x:f>
        <x:v>5</x:v>
      </x:c>
      <x:c r="C9" s="91" t="n">
        <x:v>1</x:v>
      </x:c>
      <x:c r="D9" s="87" t="n">
        <x:f>B9/C9</x:f>
        <x:v>5</x:v>
      </x:c>
    </x:row>
    <x:row r="10">
      <x:c r="A10" s="80" t="str">
        <x:v>Double</x:v>
      </x:c>
      <x:c r="B10" s="92" t="n">
        <x:f>COUNTIF('Yolcu Listesi'!$D$2:$D$49,A10)</x:f>
        <x:v>20</x:v>
      </x:c>
      <x:c r="C10" s="92" t="n">
        <x:v>2</x:v>
      </x:c>
      <x:c r="D10" s="89" t="n">
        <x:f>B10/C10</x:f>
        <x:v>10</x:v>
      </x:c>
    </x:row>
    <x:row r="11">
      <x:c r="A11" s="80" t="str">
        <x:v>Triple</x:v>
      </x:c>
      <x:c r="B11" s="92" t="n">
        <x:f>COUNTIF('Yolcu Listesi'!$D$2:$D$49,A11)</x:f>
        <x:v>15</x:v>
      </x:c>
      <x:c r="C11" s="92" t="n">
        <x:v>3</x:v>
      </x:c>
      <x:c r="D11" s="89" t="n">
        <x:f>B11/C11</x:f>
        <x:v>5</x:v>
      </x:c>
    </x:row>
    <x:row r="12">
      <x:c r="A12" s="82" t="str">
        <x:v>Twin</x:v>
      </x:c>
      <x:c r="B12" s="93" t="n">
        <x:f>COUNTIF('Yolcu Listesi'!$D$2:$D$49,A12)</x:f>
        <x:v>8</x:v>
      </x:c>
      <x:c r="C12" s="93" t="n">
        <x:v>2</x:v>
      </x:c>
      <x:c r="D12" s="90" t="n">
        <x:f>B12/C12</x:f>
        <x:v>4</x:v>
      </x:c>
    </x:row>
    <x:row r="13">
      <x:c r="B13" s="88"/>
      <x:c r="C13" s="88"/>
      <x:c r="D13" s="88"/>
    </x:row>
    <x:row r="14">
      <x:c r="A14" s="74" t="str">
        <x:v>Kontrol</x:v>
      </x:c>
      <x:c r="B14" s="77" t="str">
        <x:v>Sonuç</x:v>
      </x:c>
      <x:c r="C14" s="75" t="str">
        <x:v>Beklenen</x:v>
      </x:c>
      <x:c r="D14" s="88"/>
    </x:row>
    <x:row r="15">
      <x:c r="A15" s="78" t="str">
        <x:v>Toplam yolcu</x:v>
      </x:c>
      <x:c r="B15" s="91" t="n">
        <x:f>COUNTA('Yolcu Listesi'!$A$2:$A$49)</x:f>
        <x:v>48</x:v>
      </x:c>
      <x:c r="C15" s="87" t="n">
        <x:v>48</x:v>
      </x:c>
      <x:c r="D15" s="88"/>
    </x:row>
    <x:row r="16">
      <x:c r="A16" s="80" t="str">
        <x:v>Dolu T.C. Kimlik No</x:v>
      </x:c>
      <x:c r="B16" s="92" t="n">
        <x:f>COUNTA('Yolcu Listesi'!$F$2:$F$49)</x:f>
        <x:v>48</x:v>
      </x:c>
      <x:c r="C16" s="89" t="n">
        <x:v>48</x:v>
      </x:c>
      <x:c r="D16" s="88"/>
    </x:row>
    <x:row r="17">
      <x:c r="A17" s="80" t="str">
        <x:v>Dolu Pasaport No</x:v>
      </x:c>
      <x:c r="B17" s="92" t="n">
        <x:f>COUNTA('Yolcu Listesi'!$I$2:$I$49)</x:f>
        <x:v>48</x:v>
      </x:c>
      <x:c r="C17" s="89" t="n">
        <x:v>48</x:v>
      </x:c>
      <x:c r="D17" s="88"/>
    </x:row>
    <x:row r="18">
      <x:c r="A18" s="82" t="str">
        <x:v>Toplam oda</x:v>
      </x:c>
      <x:c r="B18" s="93" t="n">
        <x:f>SUM(D9:D12)</x:f>
        <x:v>24</x:v>
      </x:c>
      <x:c r="C18" s="90" t="n">
        <x:v>24</x:v>
      </x:c>
      <x:c r="D18" s="88"/>
    </x:row>
    <x:row r="20">
      <x:c r="A20" s="69" t="str">
        <x:v>Not: Bu dosyadaki tüm adlar, telefonlar ve belge numaraları test amacıyla sentetik olarak üretilmiştir. T.C. Kimlik No değerleri gerçek doğrulama kontrolünü bilerek geçmez.</x:v>
      </x:c>
      <x:c r="B20" s="69"/>
      <x:c r="C20" s="69"/>
      <x:c r="D20" s="69"/>
    </x:row>
    <x:row r="21">
      <x:c r="A21" s="69"/>
      <x:c r="B21" s="69"/>
      <x:c r="C21" s="69"/>
      <x:c r="D21" s="69"/>
    </x:row>
  </x:sheetData>
  <x:mergeCells>
    <x:mergeCell ref="A1:D1"/>
    <x:mergeCell ref="A20:D21"/>
  </x:mergeCells>
  <x:pageMargins left="0.7" right="0.7" top="0.75" bottom="0.75" header="0.3" footer="0.3"/>
</x:worksheet>
</file>