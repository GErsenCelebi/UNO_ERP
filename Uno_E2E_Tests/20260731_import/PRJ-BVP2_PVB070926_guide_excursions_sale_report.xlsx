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13_ncr:20001_{AC131EBF-20CE-4342-AA41-C4A6716E278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ExcusionSales" sheetId="1" r:id="rId1"/>
    <sheet name="BaseService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D41" i="1"/>
  <c r="E41" i="1"/>
  <c r="F41" i="1"/>
  <c r="G41" i="1"/>
  <c r="H41" i="1"/>
  <c r="I41" i="1"/>
  <c r="J41" i="1"/>
  <c r="K41" i="1"/>
  <c r="L41" i="1"/>
  <c r="M41" i="1"/>
  <c r="B41" i="1"/>
  <c r="C40" i="1"/>
  <c r="D40" i="1"/>
  <c r="E40" i="1"/>
  <c r="F40" i="1"/>
  <c r="G40" i="1"/>
  <c r="H40" i="1"/>
  <c r="I40" i="1"/>
  <c r="J40" i="1"/>
  <c r="K40" i="1"/>
  <c r="L40" i="1"/>
  <c r="M40" i="1"/>
  <c r="B40" i="1"/>
  <c r="J2" i="2"/>
  <c r="J3" i="2"/>
</calcChain>
</file>

<file path=xl/sharedStrings.xml><?xml version="1.0" encoding="utf-8"?>
<sst xmlns="http://schemas.openxmlformats.org/spreadsheetml/2006/main" count="74" uniqueCount="69">
  <si>
    <t>Dates</t>
  </si>
  <si>
    <t>Prices</t>
  </si>
  <si>
    <t>Code</t>
  </si>
  <si>
    <t>PRG-KV</t>
  </si>
  <si>
    <t>PRG-Folklor</t>
  </si>
  <si>
    <t>BDP-Boat</t>
  </si>
  <si>
    <t>VN-Hallstat</t>
  </si>
  <si>
    <t>BDP-VDP</t>
  </si>
  <si>
    <t>PRG-Castle</t>
  </si>
  <si>
    <t>PRG-Dresden</t>
  </si>
  <si>
    <t>PRG-Boat</t>
  </si>
  <si>
    <t>BDP-Estergom</t>
  </si>
  <si>
    <t>BDP-Brt</t>
  </si>
  <si>
    <t>VN-Concert</t>
  </si>
  <si>
    <t>VN-Gringsing</t>
  </si>
  <si>
    <t>Passenger Name</t>
  </si>
  <si>
    <t>Base Service</t>
  </si>
  <si>
    <t>Revenue</t>
  </si>
  <si>
    <t>Expense</t>
  </si>
  <si>
    <t>Other</t>
  </si>
  <si>
    <t>per/Pax</t>
  </si>
  <si>
    <t>UnitPrice</t>
  </si>
  <si>
    <t>Adult</t>
  </si>
  <si>
    <t>Children</t>
  </si>
  <si>
    <t>Infant</t>
  </si>
  <si>
    <t>Total</t>
  </si>
  <si>
    <t>CityTax</t>
  </si>
  <si>
    <t>Agengy Fee</t>
  </si>
  <si>
    <t>CEM EREN</t>
  </si>
  <si>
    <t>FERAY ECE EREN</t>
  </si>
  <si>
    <t>DENİZ GÜNEŞ</t>
  </si>
  <si>
    <t>HANDE IŞIK</t>
  </si>
  <si>
    <t>EMİR IŞIK</t>
  </si>
  <si>
    <t>İREM IŞIK</t>
  </si>
  <si>
    <t>JALE CANAN KARA</t>
  </si>
  <si>
    <t>FURKAN KARA</t>
  </si>
  <si>
    <t>GÖKHAN KARA</t>
  </si>
  <si>
    <t>HAKAN KARACA</t>
  </si>
  <si>
    <t>İLKER KARACA</t>
  </si>
  <si>
    <t>KAAN KEREM KAYA</t>
  </si>
  <si>
    <t>NAZAN KAYA</t>
  </si>
  <si>
    <t>KORAY CAN KESKİN</t>
  </si>
  <si>
    <t>PELİN KESKİN</t>
  </si>
  <si>
    <t>RÜYA NUR KILIÇ</t>
  </si>
  <si>
    <t>MERT EGE KOÇ</t>
  </si>
  <si>
    <t>METE KOÇ</t>
  </si>
  <si>
    <t>OĞUZ CEM KOÇ</t>
  </si>
  <si>
    <t>ONUR KURT</t>
  </si>
  <si>
    <t>YASEMİN KURT</t>
  </si>
  <si>
    <t>SELÇUK MUTLU</t>
  </si>
  <si>
    <t>ZEYNEP MUTLU</t>
  </si>
  <si>
    <t>AÇELYA NAZ ÖZDEMİR</t>
  </si>
  <si>
    <t>UMUT CAN ÖZDEMİR</t>
  </si>
  <si>
    <t>VOLKAN ÖZDEMİR</t>
  </si>
  <si>
    <t>BANU ÖZER</t>
  </si>
  <si>
    <t>YİĞİT ÖZER</t>
  </si>
  <si>
    <t>AHMET ÖZKAN</t>
  </si>
  <si>
    <t>DAMLA POLAT</t>
  </si>
  <si>
    <t>ARDA SAĞLAM</t>
  </si>
  <si>
    <t>DERYA SAĞLAM</t>
  </si>
  <si>
    <t>ATLAS SAĞLAM</t>
  </si>
  <si>
    <t>ECE SARI</t>
  </si>
  <si>
    <t>07.09.2026</t>
  </si>
  <si>
    <t>08.09.2026</t>
  </si>
  <si>
    <t>09.09.2026</t>
  </si>
  <si>
    <t>10.09.2026</t>
  </si>
  <si>
    <t>11.09.2026</t>
  </si>
  <si>
    <t>12.09.2026</t>
  </si>
  <si>
    <t>13.09.2026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</si>
</sst>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8"/>
      <color theme="1"/>
      <name val="Aptos Narrow"/>
      <family val="2"/>
    </font>
    <font>
      <sz val="11"/>
      <name val="Carlito"/>
    </font>
    <font>
      <sz val="10"/>
      <color rgb="FF1F2937"/>
      <name val="Carlito"/>
    </font>
    <font>
      <sz val="8"/>
      <color rgb="FF1F2937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3F7FC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medium">
        <color rgb="FF9FBAD0"/>
      </top>
      <bottom style="thin">
        <color rgb="FFD9E2F3"/>
      </bottom>
      <diagonal/>
    </border>
    <border>
      <left/>
      <right/>
      <top style="medium">
        <color rgb="FF9FBAD0"/>
      </top>
      <bottom/>
      <diagonal/>
    </border>
  </borders>
  <cellStyleXfs count="2">
    <xf numFmtId="0" fontId="0" fillId="0" borderId="0" applyBorder="0"/>
    <xf numFmtId="0" fontId="5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2" borderId="3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2" borderId="2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2" borderId="3" xfId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0" builtinId="0"/>
    <cellStyle name="Normal 2" xfId="1" xr:uid="{79AC39AA-81E1-46C4-9F0E-4F25D78ACE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selection activeCell="Q35" sqref="Q35"/>
    </sheetView>
  </sheetViews>
  <sheetFormatPr defaultRowHeight="14.6"/>
  <cols>
    <col min="1" max="1" width="20.4609375" bestFit="1" customWidth="1"/>
    <col min="2" max="2" width="12" customWidth="1"/>
    <col min="3" max="3" width="11.3046875" customWidth="1"/>
    <col min="4" max="4" width="8.84375" bestFit="1" customWidth="1"/>
    <col min="5" max="5" width="10.69140625" customWidth="1"/>
    <col min="6" max="6" width="11" customWidth="1"/>
    <col min="7" max="7" width="10" bestFit="1" customWidth="1"/>
    <col min="8" max="8" width="11.84375" bestFit="1" customWidth="1"/>
    <col min="9" max="9" width="8.921875" bestFit="1" customWidth="1"/>
    <col min="10" max="10" width="12.69140625" bestFit="1" customWidth="1"/>
    <col min="11" max="11" width="9.3828125" customWidth="1"/>
    <col min="12" max="12" width="10.3828125" bestFit="1" customWidth="1"/>
    <col min="13" max="13" width="11.61328125" bestFit="1" customWidth="1"/>
  </cols>
  <sheetData>
    <row r="1" spans="1:15">
      <c r="A1" t="s">
        <v>0</v>
      </c>
      <c r="B1" t="s">
        <v>63</v>
      </c>
      <c r="C1" t="s">
        <v>62</v>
      </c>
      <c r="D1" t="s">
        <v>67</v>
      </c>
      <c r="E1" t="s">
        <v>65</v>
      </c>
      <c r="F1" t="s">
        <v>68</v>
      </c>
      <c r="G1" t="s">
        <v>63</v>
      </c>
      <c r="H1" t="s">
        <v>64</v>
      </c>
      <c r="I1" t="s">
        <v>63</v>
      </c>
      <c r="J1" t="s">
        <v>68</v>
      </c>
      <c r="K1" t="s">
        <v>67</v>
      </c>
      <c r="L1" t="s">
        <v>65</v>
      </c>
      <c r="M1" t="s">
        <v>66</v>
      </c>
    </row>
    <row r="2" spans="1:15">
      <c r="A2" t="s">
        <v>1</v>
      </c>
      <c r="B2">
        <v>65</v>
      </c>
      <c r="C2">
        <v>65</v>
      </c>
      <c r="D2">
        <v>40</v>
      </c>
      <c r="E2">
        <v>100</v>
      </c>
      <c r="F2">
        <v>70</v>
      </c>
      <c r="G2">
        <v>40</v>
      </c>
      <c r="H2">
        <v>40</v>
      </c>
      <c r="I2">
        <v>50</v>
      </c>
      <c r="J2">
        <v>60</v>
      </c>
      <c r="K2">
        <v>40</v>
      </c>
      <c r="L2">
        <v>30</v>
      </c>
      <c r="M2">
        <v>65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5">
      <c r="A4" s="1" t="s">
        <v>15</v>
      </c>
    </row>
    <row r="5" spans="1:15">
      <c r="A5" s="5" t="s">
        <v>28</v>
      </c>
      <c r="B5" s="4" t="b">
        <v>1</v>
      </c>
      <c r="C5" s="4" t="b">
        <v>1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  <c r="I5" s="4" t="b">
        <v>1</v>
      </c>
      <c r="J5" s="4" t="b">
        <v>1</v>
      </c>
      <c r="K5" s="4" t="b">
        <v>0</v>
      </c>
      <c r="L5" s="4" t="b">
        <v>0</v>
      </c>
      <c r="M5" s="4" t="b">
        <v>0</v>
      </c>
    </row>
    <row r="6" spans="1:15" ht="15" thickBot="1">
      <c r="A6" s="6" t="s">
        <v>29</v>
      </c>
      <c r="B6" s="4" t="b">
        <v>1</v>
      </c>
      <c r="C6" s="4" t="b">
        <v>1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  <c r="I6" s="4" t="b">
        <v>1</v>
      </c>
      <c r="J6" s="4" t="b">
        <v>1</v>
      </c>
      <c r="K6" s="4" t="b">
        <v>0</v>
      </c>
      <c r="L6" s="4" t="b">
        <v>1</v>
      </c>
      <c r="M6" s="4" t="b">
        <v>0</v>
      </c>
    </row>
    <row r="7" spans="1:15" ht="15" thickBot="1">
      <c r="A7" s="7" t="s">
        <v>30</v>
      </c>
      <c r="B7" s="11" t="b">
        <v>1</v>
      </c>
      <c r="C7" s="11" t="b">
        <v>1</v>
      </c>
      <c r="D7" s="11" t="b">
        <v>1</v>
      </c>
      <c r="E7" s="11" t="b">
        <v>1</v>
      </c>
      <c r="F7" s="11" t="b">
        <v>1</v>
      </c>
      <c r="G7" s="11" t="b">
        <v>1</v>
      </c>
      <c r="H7" s="11" t="b">
        <v>1</v>
      </c>
      <c r="I7" s="11" t="b">
        <v>0</v>
      </c>
      <c r="J7" s="11" t="b">
        <v>1</v>
      </c>
      <c r="K7" s="11" t="b">
        <v>1</v>
      </c>
      <c r="L7" s="11" t="b">
        <v>0</v>
      </c>
      <c r="M7" s="11" t="b">
        <v>1</v>
      </c>
      <c r="N7" s="7"/>
      <c r="O7" s="7"/>
    </row>
    <row r="8" spans="1:15">
      <c r="A8" s="8" t="s">
        <v>31</v>
      </c>
      <c r="B8" s="4" t="b">
        <v>1</v>
      </c>
      <c r="C8" s="4" t="b">
        <v>1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  <c r="I8" s="4" t="b">
        <v>1</v>
      </c>
      <c r="J8" s="4" t="b">
        <v>0</v>
      </c>
      <c r="K8" s="4" t="b">
        <v>1</v>
      </c>
      <c r="L8" s="4" t="b">
        <v>0</v>
      </c>
      <c r="M8" s="4" t="b">
        <v>1</v>
      </c>
      <c r="N8" s="8"/>
      <c r="O8" s="8"/>
    </row>
    <row r="9" spans="1:15">
      <c r="A9" s="6" t="s">
        <v>32</v>
      </c>
      <c r="B9" s="4" t="b">
        <v>1</v>
      </c>
      <c r="C9" s="4" t="b">
        <v>1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  <c r="I9" s="4" t="b">
        <v>1</v>
      </c>
      <c r="J9" s="4" t="b">
        <v>0</v>
      </c>
      <c r="K9" s="4" t="b">
        <v>1</v>
      </c>
      <c r="L9" s="4" t="b">
        <v>0</v>
      </c>
      <c r="M9" s="4" t="b">
        <v>1</v>
      </c>
      <c r="N9" s="6"/>
      <c r="O9" s="6"/>
    </row>
    <row r="10" spans="1:15" ht="15" thickBot="1">
      <c r="A10" s="6" t="s">
        <v>33</v>
      </c>
      <c r="B10" s="4" t="b">
        <v>1</v>
      </c>
      <c r="C10" s="4" t="b">
        <v>1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1</v>
      </c>
      <c r="I10" s="4" t="b">
        <v>1</v>
      </c>
      <c r="J10" s="4" t="b">
        <v>0</v>
      </c>
      <c r="K10" s="4" t="b">
        <v>1</v>
      </c>
      <c r="L10" s="4" t="b">
        <v>0</v>
      </c>
      <c r="M10" s="4" t="b">
        <v>1</v>
      </c>
      <c r="N10" s="6"/>
      <c r="O10" s="6"/>
    </row>
    <row r="11" spans="1:15" ht="15" thickBot="1">
      <c r="A11" s="7" t="s">
        <v>34</v>
      </c>
      <c r="B11" s="11" t="b">
        <v>1</v>
      </c>
      <c r="C11" s="11" t="b">
        <v>1</v>
      </c>
      <c r="D11" s="11" t="b">
        <v>1</v>
      </c>
      <c r="E11" s="11" t="b">
        <v>1</v>
      </c>
      <c r="F11" s="11" t="b">
        <v>1</v>
      </c>
      <c r="G11" s="11" t="b">
        <v>1</v>
      </c>
      <c r="H11" s="11" t="b">
        <v>1</v>
      </c>
      <c r="I11" s="11" t="b">
        <v>0</v>
      </c>
      <c r="J11" s="11" t="b">
        <v>1</v>
      </c>
      <c r="K11" s="11" t="b">
        <v>1</v>
      </c>
      <c r="L11" s="11" t="b">
        <v>0</v>
      </c>
      <c r="M11" s="11" t="b">
        <v>1</v>
      </c>
      <c r="N11" s="7"/>
      <c r="O11" s="7"/>
    </row>
    <row r="12" spans="1:15" ht="15" thickBot="1">
      <c r="A12" s="9" t="s">
        <v>35</v>
      </c>
      <c r="B12" s="11" t="b">
        <v>1</v>
      </c>
      <c r="C12" s="11" t="b">
        <v>1</v>
      </c>
      <c r="D12" s="11" t="b">
        <v>1</v>
      </c>
      <c r="E12" s="11" t="b">
        <v>1</v>
      </c>
      <c r="F12" s="11" t="b">
        <v>1</v>
      </c>
      <c r="G12" s="11" t="b">
        <v>1</v>
      </c>
      <c r="H12" s="11" t="b">
        <v>1</v>
      </c>
      <c r="I12" s="11" t="b">
        <v>0</v>
      </c>
      <c r="J12" s="11" t="b">
        <v>1</v>
      </c>
      <c r="K12" s="11" t="b">
        <v>1</v>
      </c>
      <c r="L12" s="11" t="b">
        <v>0</v>
      </c>
      <c r="M12" s="11" t="b">
        <v>1</v>
      </c>
      <c r="N12" s="9"/>
      <c r="O12" s="9"/>
    </row>
    <row r="13" spans="1:15" ht="15" thickBot="1">
      <c r="A13" s="9" t="s">
        <v>36</v>
      </c>
      <c r="B13" s="11" t="b">
        <v>1</v>
      </c>
      <c r="C13" s="11" t="b">
        <v>1</v>
      </c>
      <c r="D13" s="11" t="b">
        <v>1</v>
      </c>
      <c r="E13" s="11" t="b">
        <v>1</v>
      </c>
      <c r="F13" s="11" t="b">
        <v>1</v>
      </c>
      <c r="G13" s="11" t="b">
        <v>1</v>
      </c>
      <c r="H13" s="11" t="b">
        <v>1</v>
      </c>
      <c r="I13" s="11" t="b">
        <v>0</v>
      </c>
      <c r="J13" s="11" t="b">
        <v>1</v>
      </c>
      <c r="K13" s="11" t="b">
        <v>1</v>
      </c>
      <c r="L13" s="11" t="b">
        <v>0</v>
      </c>
      <c r="M13" s="11" t="b">
        <v>1</v>
      </c>
      <c r="N13" s="9"/>
      <c r="O13" s="9"/>
    </row>
    <row r="14" spans="1:15">
      <c r="A14" s="8" t="s">
        <v>37</v>
      </c>
      <c r="B14" s="4" t="b">
        <v>1</v>
      </c>
      <c r="C14" s="4" t="b">
        <v>1</v>
      </c>
      <c r="D14" s="4" t="b">
        <v>1</v>
      </c>
      <c r="E14" s="4" t="b">
        <v>1</v>
      </c>
      <c r="F14" s="4" t="b">
        <v>1</v>
      </c>
      <c r="G14" s="4" t="b">
        <v>1</v>
      </c>
      <c r="H14" s="4" t="b">
        <v>1</v>
      </c>
      <c r="I14" s="4" t="b">
        <v>1</v>
      </c>
      <c r="J14" s="4" t="b">
        <v>1</v>
      </c>
      <c r="K14" s="4" t="b">
        <v>1</v>
      </c>
      <c r="L14" s="4" t="b">
        <v>1</v>
      </c>
      <c r="M14" s="4" t="b">
        <v>1</v>
      </c>
      <c r="N14" s="8"/>
      <c r="O14" s="8"/>
    </row>
    <row r="15" spans="1:15" ht="15" thickBot="1">
      <c r="A15" s="6" t="s">
        <v>38</v>
      </c>
      <c r="B15" s="4" t="b">
        <v>1</v>
      </c>
      <c r="C15" s="4" t="b">
        <v>1</v>
      </c>
      <c r="D15" s="4" t="b">
        <v>1</v>
      </c>
      <c r="E15" s="4" t="b">
        <v>1</v>
      </c>
      <c r="F15" s="4" t="b">
        <v>1</v>
      </c>
      <c r="G15" s="4" t="b">
        <v>1</v>
      </c>
      <c r="H15" s="4" t="b">
        <v>1</v>
      </c>
      <c r="I15" s="4" t="b">
        <v>1</v>
      </c>
      <c r="J15" s="4" t="b">
        <v>1</v>
      </c>
      <c r="K15" s="4" t="b">
        <v>1</v>
      </c>
      <c r="L15" s="4" t="b">
        <v>1</v>
      </c>
      <c r="M15" s="4" t="b">
        <v>1</v>
      </c>
      <c r="N15" s="6"/>
      <c r="O15" s="6"/>
    </row>
    <row r="16" spans="1:15" ht="15" thickBot="1">
      <c r="A16" s="7" t="s">
        <v>39</v>
      </c>
      <c r="B16" s="11" t="b">
        <v>1</v>
      </c>
      <c r="C16" s="11" t="b">
        <v>1</v>
      </c>
      <c r="D16" s="11" t="b">
        <v>1</v>
      </c>
      <c r="E16" s="11" t="b">
        <v>1</v>
      </c>
      <c r="F16" s="11" t="b">
        <v>1</v>
      </c>
      <c r="G16" s="11" t="b">
        <v>1</v>
      </c>
      <c r="H16" s="11" t="b">
        <v>1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1</v>
      </c>
      <c r="N16" s="7"/>
      <c r="O16" s="7"/>
    </row>
    <row r="17" spans="1:15" ht="15" thickBot="1">
      <c r="A17" s="9" t="s">
        <v>40</v>
      </c>
      <c r="B17" s="11" t="b">
        <v>1</v>
      </c>
      <c r="C17" s="11" t="b">
        <v>1</v>
      </c>
      <c r="D17" s="11" t="b">
        <v>1</v>
      </c>
      <c r="E17" s="11" t="b">
        <v>1</v>
      </c>
      <c r="F17" s="11" t="b">
        <v>1</v>
      </c>
      <c r="G17" s="11" t="b">
        <v>1</v>
      </c>
      <c r="H17" s="11" t="b">
        <v>1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1</v>
      </c>
      <c r="N17" s="9"/>
      <c r="O17" s="9"/>
    </row>
    <row r="18" spans="1:15">
      <c r="A18" s="8" t="s">
        <v>41</v>
      </c>
      <c r="B18" s="4" t="b">
        <v>1</v>
      </c>
      <c r="C18" s="4" t="b">
        <v>1</v>
      </c>
      <c r="D18" s="4" t="b">
        <v>1</v>
      </c>
      <c r="E18" s="4" t="b">
        <v>1</v>
      </c>
      <c r="F18" s="4" t="b">
        <v>1</v>
      </c>
      <c r="G18" s="4" t="b">
        <v>1</v>
      </c>
      <c r="H18" s="4" t="b">
        <v>1</v>
      </c>
      <c r="I18" s="4" t="b">
        <v>1</v>
      </c>
      <c r="J18" s="4" t="b">
        <v>1</v>
      </c>
      <c r="K18" s="4" t="b">
        <v>1</v>
      </c>
      <c r="L18" s="4" t="b">
        <v>1</v>
      </c>
      <c r="M18" s="4" t="b">
        <v>1</v>
      </c>
      <c r="N18" s="8"/>
      <c r="O18" s="8"/>
    </row>
    <row r="19" spans="1:15" ht="15" thickBot="1">
      <c r="A19" s="6" t="s">
        <v>42</v>
      </c>
      <c r="B19" s="4" t="b">
        <v>1</v>
      </c>
      <c r="C19" s="4" t="b">
        <v>1</v>
      </c>
      <c r="D19" s="4" t="b">
        <v>1</v>
      </c>
      <c r="E19" s="4" t="b">
        <v>1</v>
      </c>
      <c r="F19" s="4" t="b">
        <v>1</v>
      </c>
      <c r="G19" s="4" t="b">
        <v>1</v>
      </c>
      <c r="H19" s="4" t="b">
        <v>1</v>
      </c>
      <c r="I19" s="4" t="b">
        <v>1</v>
      </c>
      <c r="J19" s="4" t="b">
        <v>1</v>
      </c>
      <c r="K19" s="4" t="b">
        <v>1</v>
      </c>
      <c r="L19" s="4" t="b">
        <v>1</v>
      </c>
      <c r="M19" s="4" t="b">
        <v>1</v>
      </c>
      <c r="N19" s="6"/>
      <c r="O19" s="6"/>
    </row>
    <row r="20" spans="1:15" ht="15" thickBot="1">
      <c r="A20" s="7" t="s">
        <v>43</v>
      </c>
      <c r="B20" s="11" t="b">
        <v>1</v>
      </c>
      <c r="C20" s="11" t="b">
        <v>1</v>
      </c>
      <c r="D20" s="11" t="b">
        <v>1</v>
      </c>
      <c r="E20" s="11" t="b">
        <v>1</v>
      </c>
      <c r="F20" s="11" t="b">
        <v>1</v>
      </c>
      <c r="G20" s="11" t="b">
        <v>1</v>
      </c>
      <c r="H20" s="11" t="b">
        <v>1</v>
      </c>
      <c r="I20" s="11" t="b">
        <v>0</v>
      </c>
      <c r="J20" s="11" t="b">
        <v>1</v>
      </c>
      <c r="K20" s="11" t="b">
        <v>1</v>
      </c>
      <c r="L20" s="11" t="b">
        <v>0</v>
      </c>
      <c r="M20" s="11" t="b">
        <v>1</v>
      </c>
      <c r="N20" s="7"/>
      <c r="O20" s="7"/>
    </row>
    <row r="21" spans="1:15">
      <c r="A21" s="8" t="s">
        <v>44</v>
      </c>
      <c r="B21" s="4" t="b">
        <v>1</v>
      </c>
      <c r="C21" s="4" t="b">
        <v>1</v>
      </c>
      <c r="D21" s="4" t="b">
        <v>1</v>
      </c>
      <c r="E21" s="4" t="b">
        <v>1</v>
      </c>
      <c r="F21" s="4" t="b">
        <v>1</v>
      </c>
      <c r="G21" s="4" t="b">
        <v>1</v>
      </c>
      <c r="H21" s="4" t="b">
        <v>1</v>
      </c>
      <c r="I21" s="4" t="b">
        <v>1</v>
      </c>
      <c r="J21" s="4" t="b">
        <v>1</v>
      </c>
      <c r="K21" s="4" t="b">
        <v>1</v>
      </c>
      <c r="L21" s="4" t="b">
        <v>1</v>
      </c>
      <c r="M21" s="4" t="b">
        <v>1</v>
      </c>
      <c r="N21" s="8"/>
      <c r="O21" s="8"/>
    </row>
    <row r="22" spans="1:15">
      <c r="A22" s="6" t="s">
        <v>45</v>
      </c>
      <c r="B22" s="4" t="b">
        <v>1</v>
      </c>
      <c r="C22" s="4" t="b">
        <v>1</v>
      </c>
      <c r="D22" s="4" t="b">
        <v>1</v>
      </c>
      <c r="E22" s="4" t="b">
        <v>1</v>
      </c>
      <c r="F22" s="4" t="b">
        <v>1</v>
      </c>
      <c r="G22" s="4" t="b">
        <v>1</v>
      </c>
      <c r="H22" s="4" t="b">
        <v>1</v>
      </c>
      <c r="I22" s="4" t="b">
        <v>1</v>
      </c>
      <c r="J22" s="4" t="b">
        <v>1</v>
      </c>
      <c r="K22" s="4" t="b">
        <v>1</v>
      </c>
      <c r="L22" s="4" t="b">
        <v>1</v>
      </c>
      <c r="M22" s="4" t="b">
        <v>1</v>
      </c>
      <c r="N22" s="6"/>
      <c r="O22" s="6"/>
    </row>
    <row r="23" spans="1:15" ht="15" thickBot="1">
      <c r="A23" s="6" t="s">
        <v>46</v>
      </c>
      <c r="B23" s="4" t="b">
        <v>1</v>
      </c>
      <c r="C23" s="4" t="b">
        <v>1</v>
      </c>
      <c r="D23" s="4" t="b">
        <v>1</v>
      </c>
      <c r="E23" s="4" t="b">
        <v>1</v>
      </c>
      <c r="F23" s="4" t="b">
        <v>1</v>
      </c>
      <c r="G23" s="4" t="b">
        <v>1</v>
      </c>
      <c r="H23" s="4" t="b">
        <v>1</v>
      </c>
      <c r="I23" s="4" t="b">
        <v>1</v>
      </c>
      <c r="J23" s="4" t="b">
        <v>1</v>
      </c>
      <c r="K23" s="4" t="b">
        <v>1</v>
      </c>
      <c r="L23" s="4" t="b">
        <v>1</v>
      </c>
      <c r="M23" s="4" t="b">
        <v>1</v>
      </c>
      <c r="N23" s="6"/>
      <c r="O23" s="6"/>
    </row>
    <row r="24" spans="1:15" ht="15" thickBot="1">
      <c r="A24" s="7" t="s">
        <v>47</v>
      </c>
      <c r="B24" s="11" t="b">
        <v>1</v>
      </c>
      <c r="C24" s="11" t="b">
        <v>1</v>
      </c>
      <c r="D24" s="11" t="b">
        <v>1</v>
      </c>
      <c r="E24" s="11" t="b">
        <v>1</v>
      </c>
      <c r="F24" s="11" t="b">
        <v>1</v>
      </c>
      <c r="G24" s="11" t="b">
        <v>1</v>
      </c>
      <c r="H24" s="11" t="b">
        <v>1</v>
      </c>
      <c r="I24" s="11" t="b">
        <v>0</v>
      </c>
      <c r="J24" s="11" t="b">
        <v>1</v>
      </c>
      <c r="K24" s="11" t="b">
        <v>1</v>
      </c>
      <c r="L24" s="11" t="b">
        <v>0</v>
      </c>
      <c r="M24" s="11" t="b">
        <v>1</v>
      </c>
      <c r="N24" s="7"/>
      <c r="O24" s="7"/>
    </row>
    <row r="25" spans="1:15" ht="15" thickBot="1">
      <c r="A25" s="9" t="s">
        <v>48</v>
      </c>
      <c r="B25" s="11" t="b">
        <v>1</v>
      </c>
      <c r="C25" s="11" t="b">
        <v>1</v>
      </c>
      <c r="D25" s="11" t="b">
        <v>1</v>
      </c>
      <c r="E25" s="11" t="b">
        <v>1</v>
      </c>
      <c r="F25" s="11" t="b">
        <v>1</v>
      </c>
      <c r="G25" s="11" t="b">
        <v>1</v>
      </c>
      <c r="H25" s="11" t="b">
        <v>1</v>
      </c>
      <c r="I25" s="11" t="b">
        <v>0</v>
      </c>
      <c r="J25" s="11" t="b">
        <v>1</v>
      </c>
      <c r="K25" s="11" t="b">
        <v>1</v>
      </c>
      <c r="L25" s="11" t="b">
        <v>0</v>
      </c>
      <c r="M25" s="11" t="b">
        <v>1</v>
      </c>
      <c r="N25" s="9"/>
      <c r="O25" s="9"/>
    </row>
    <row r="26" spans="1:15">
      <c r="A26" s="8" t="s">
        <v>49</v>
      </c>
      <c r="B26" s="4" t="b">
        <v>1</v>
      </c>
      <c r="C26" s="4" t="b">
        <v>1</v>
      </c>
      <c r="D26" s="4" t="b">
        <v>1</v>
      </c>
      <c r="E26" s="4" t="b">
        <v>1</v>
      </c>
      <c r="F26" s="4" t="b">
        <v>1</v>
      </c>
      <c r="G26" s="4" t="b">
        <v>1</v>
      </c>
      <c r="H26" s="4" t="b">
        <v>1</v>
      </c>
      <c r="I26" s="4" t="b">
        <v>1</v>
      </c>
      <c r="J26" s="4" t="b">
        <v>1</v>
      </c>
      <c r="K26" s="4" t="b">
        <v>1</v>
      </c>
      <c r="L26" s="4" t="b">
        <v>1</v>
      </c>
      <c r="M26" s="4" t="b">
        <v>1</v>
      </c>
      <c r="N26" s="8"/>
      <c r="O26" s="8"/>
    </row>
    <row r="27" spans="1:15" ht="15" thickBot="1">
      <c r="A27" s="6" t="s">
        <v>50</v>
      </c>
      <c r="B27" s="4" t="b">
        <v>1</v>
      </c>
      <c r="C27" s="4" t="b">
        <v>1</v>
      </c>
      <c r="D27" s="4" t="b">
        <v>1</v>
      </c>
      <c r="E27" s="4" t="b">
        <v>1</v>
      </c>
      <c r="F27" s="4" t="b">
        <v>1</v>
      </c>
      <c r="G27" s="4" t="b">
        <v>1</v>
      </c>
      <c r="H27" s="4" t="b">
        <v>1</v>
      </c>
      <c r="I27" s="4" t="b">
        <v>1</v>
      </c>
      <c r="J27" s="4" t="b">
        <v>1</v>
      </c>
      <c r="K27" s="4" t="b">
        <v>1</v>
      </c>
      <c r="L27" s="4" t="b">
        <v>1</v>
      </c>
      <c r="M27" s="4" t="b">
        <v>1</v>
      </c>
      <c r="N27" s="6"/>
      <c r="O27" s="6"/>
    </row>
    <row r="28" spans="1:15" ht="15" thickBot="1">
      <c r="A28" s="7" t="s">
        <v>51</v>
      </c>
      <c r="B28" s="11" t="b">
        <v>1</v>
      </c>
      <c r="C28" s="11" t="b">
        <v>1</v>
      </c>
      <c r="D28" s="11" t="b">
        <v>1</v>
      </c>
      <c r="E28" s="11" t="b">
        <v>1</v>
      </c>
      <c r="F28" s="11" t="b">
        <v>1</v>
      </c>
      <c r="G28" s="11" t="b">
        <v>1</v>
      </c>
      <c r="H28" s="11" t="b">
        <v>1</v>
      </c>
      <c r="I28" s="11" t="b">
        <v>0</v>
      </c>
      <c r="J28" s="11" t="b">
        <v>1</v>
      </c>
      <c r="K28" s="11" t="b">
        <v>1</v>
      </c>
      <c r="L28" s="11" t="b">
        <v>0</v>
      </c>
      <c r="M28" s="11" t="b">
        <v>1</v>
      </c>
      <c r="N28" s="7"/>
      <c r="O28" s="7"/>
    </row>
    <row r="29" spans="1:15" ht="15" thickBot="1">
      <c r="A29" s="9" t="s">
        <v>52</v>
      </c>
      <c r="B29" s="11" t="b">
        <v>1</v>
      </c>
      <c r="C29" s="11" t="b">
        <v>1</v>
      </c>
      <c r="D29" s="11" t="b">
        <v>1</v>
      </c>
      <c r="E29" s="11" t="b">
        <v>1</v>
      </c>
      <c r="F29" s="11" t="b">
        <v>1</v>
      </c>
      <c r="G29" s="11" t="b">
        <v>1</v>
      </c>
      <c r="H29" s="11" t="b">
        <v>1</v>
      </c>
      <c r="I29" s="11" t="b">
        <v>0</v>
      </c>
      <c r="J29" s="11" t="b">
        <v>1</v>
      </c>
      <c r="K29" s="11" t="b">
        <v>1</v>
      </c>
      <c r="L29" s="11" t="b">
        <v>0</v>
      </c>
      <c r="M29" s="11" t="b">
        <v>1</v>
      </c>
      <c r="N29" s="9"/>
      <c r="O29" s="9"/>
    </row>
    <row r="30" spans="1:15" ht="15" thickBot="1">
      <c r="A30" s="9" t="s">
        <v>53</v>
      </c>
      <c r="B30" s="11" t="b">
        <v>1</v>
      </c>
      <c r="C30" s="11" t="b">
        <v>1</v>
      </c>
      <c r="D30" s="11" t="b">
        <v>1</v>
      </c>
      <c r="E30" s="11" t="b">
        <v>1</v>
      </c>
      <c r="F30" s="11" t="b">
        <v>1</v>
      </c>
      <c r="G30" s="11" t="b">
        <v>1</v>
      </c>
      <c r="H30" s="11" t="b">
        <v>1</v>
      </c>
      <c r="I30" s="11" t="b">
        <v>0</v>
      </c>
      <c r="J30" s="11" t="b">
        <v>1</v>
      </c>
      <c r="K30" s="11" t="b">
        <v>1</v>
      </c>
      <c r="L30" s="11" t="b">
        <v>0</v>
      </c>
      <c r="M30" s="11" t="b">
        <v>1</v>
      </c>
      <c r="N30" s="9"/>
      <c r="O30" s="9"/>
    </row>
    <row r="31" spans="1:15">
      <c r="A31" s="8" t="s">
        <v>54</v>
      </c>
      <c r="B31" s="4" t="b">
        <v>0</v>
      </c>
      <c r="C31" s="4" t="b">
        <v>0</v>
      </c>
      <c r="D31" s="4" t="b">
        <v>0</v>
      </c>
      <c r="E31" s="4" t="b">
        <v>1</v>
      </c>
      <c r="F31" s="4" t="b">
        <v>1</v>
      </c>
      <c r="G31" s="4" t="b">
        <v>1</v>
      </c>
      <c r="H31" s="4" t="b">
        <v>1</v>
      </c>
      <c r="I31" s="4" t="b">
        <v>1</v>
      </c>
      <c r="J31" s="4" t="b">
        <v>1</v>
      </c>
      <c r="K31" s="4" t="b">
        <v>1</v>
      </c>
      <c r="L31" s="4" t="b">
        <v>1</v>
      </c>
      <c r="M31" s="4" t="b">
        <v>1</v>
      </c>
      <c r="N31" s="8"/>
      <c r="O31" s="8"/>
    </row>
    <row r="32" spans="1:15" ht="15" thickBot="1">
      <c r="A32" s="6" t="s">
        <v>55</v>
      </c>
      <c r="B32" s="4" t="b">
        <v>1</v>
      </c>
      <c r="C32" s="4" t="b">
        <v>0</v>
      </c>
      <c r="D32" s="4" t="b">
        <v>0</v>
      </c>
      <c r="E32" s="4" t="b">
        <v>1</v>
      </c>
      <c r="F32" s="4" t="b">
        <v>1</v>
      </c>
      <c r="G32" s="4" t="b">
        <v>1</v>
      </c>
      <c r="H32" s="4" t="b">
        <v>1</v>
      </c>
      <c r="I32" s="4" t="b">
        <v>1</v>
      </c>
      <c r="J32" s="4" t="b">
        <v>1</v>
      </c>
      <c r="K32" s="4" t="b">
        <v>1</v>
      </c>
      <c r="L32" s="4" t="b">
        <v>1</v>
      </c>
      <c r="M32" s="4" t="b">
        <v>1</v>
      </c>
      <c r="N32" s="6"/>
      <c r="O32" s="6"/>
    </row>
    <row r="33" spans="1:15" ht="15" thickBot="1">
      <c r="A33" s="7" t="s">
        <v>56</v>
      </c>
      <c r="B33" s="11" t="b">
        <v>1</v>
      </c>
      <c r="C33" s="11" t="b">
        <v>1</v>
      </c>
      <c r="D33" s="11" t="b">
        <v>1</v>
      </c>
      <c r="E33" s="11" t="b">
        <v>1</v>
      </c>
      <c r="F33" s="11" t="b">
        <v>0</v>
      </c>
      <c r="G33" s="11" t="b">
        <v>1</v>
      </c>
      <c r="H33" s="11" t="b">
        <v>1</v>
      </c>
      <c r="I33" s="11" t="b">
        <v>0</v>
      </c>
      <c r="J33" s="11" t="b">
        <v>1</v>
      </c>
      <c r="K33" s="11" t="b">
        <v>1</v>
      </c>
      <c r="L33" s="11" t="b">
        <v>0</v>
      </c>
      <c r="M33" s="11" t="b">
        <v>1</v>
      </c>
      <c r="N33" s="7"/>
      <c r="O33" s="7"/>
    </row>
    <row r="34" spans="1:15" ht="15" thickBot="1">
      <c r="A34" s="8" t="s">
        <v>57</v>
      </c>
      <c r="B34" s="4" t="b">
        <v>1</v>
      </c>
      <c r="C34" s="4" t="b">
        <v>1</v>
      </c>
      <c r="D34" s="4" t="b">
        <v>1</v>
      </c>
      <c r="E34" s="4" t="b">
        <v>1</v>
      </c>
      <c r="F34" s="4" t="b">
        <v>0</v>
      </c>
      <c r="G34" s="4" t="b">
        <v>1</v>
      </c>
      <c r="H34" s="4" t="b">
        <v>1</v>
      </c>
      <c r="I34" s="4" t="b">
        <v>1</v>
      </c>
      <c r="J34" s="4" t="b">
        <v>1</v>
      </c>
      <c r="K34" s="4" t="b">
        <v>1</v>
      </c>
      <c r="L34" s="4" t="b">
        <v>1</v>
      </c>
      <c r="M34" s="4" t="b">
        <v>1</v>
      </c>
      <c r="N34" s="8"/>
      <c r="O34" s="8"/>
    </row>
    <row r="35" spans="1:15" ht="15" thickBot="1">
      <c r="A35" s="7" t="s">
        <v>58</v>
      </c>
      <c r="B35" s="11" t="b">
        <v>1</v>
      </c>
      <c r="C35" s="11" t="b">
        <v>1</v>
      </c>
      <c r="D35" s="11" t="b">
        <v>1</v>
      </c>
      <c r="E35" s="11" t="b">
        <v>1</v>
      </c>
      <c r="F35" s="11" t="b">
        <v>0</v>
      </c>
      <c r="G35" s="11" t="b">
        <v>1</v>
      </c>
      <c r="H35" s="11" t="b">
        <v>1</v>
      </c>
      <c r="I35" s="11" t="b">
        <v>0</v>
      </c>
      <c r="J35" s="11" t="b">
        <v>1</v>
      </c>
      <c r="K35" s="11" t="b">
        <v>0</v>
      </c>
      <c r="L35" s="11" t="b">
        <v>0</v>
      </c>
      <c r="M35" s="11" t="b">
        <v>1</v>
      </c>
      <c r="N35" s="7"/>
      <c r="O35" s="7"/>
    </row>
    <row r="36" spans="1:15" ht="15" thickBot="1">
      <c r="A36" s="9" t="s">
        <v>59</v>
      </c>
      <c r="B36" s="11" t="b">
        <v>1</v>
      </c>
      <c r="C36" s="11" t="b">
        <v>1</v>
      </c>
      <c r="D36" s="11" t="b">
        <v>1</v>
      </c>
      <c r="E36" s="11" t="b">
        <v>1</v>
      </c>
      <c r="F36" s="11" t="b">
        <v>0</v>
      </c>
      <c r="G36" s="11" t="b">
        <v>1</v>
      </c>
      <c r="H36" s="11" t="b">
        <v>1</v>
      </c>
      <c r="I36" s="11" t="b">
        <v>0</v>
      </c>
      <c r="J36" s="11" t="b">
        <v>1</v>
      </c>
      <c r="K36" s="11" t="b">
        <v>0</v>
      </c>
      <c r="L36" s="11" t="b">
        <v>0</v>
      </c>
      <c r="M36" s="11" t="b">
        <v>1</v>
      </c>
      <c r="N36" s="9"/>
      <c r="O36" s="9"/>
    </row>
    <row r="37" spans="1:15" ht="15" thickBot="1">
      <c r="A37" s="9" t="s">
        <v>60</v>
      </c>
      <c r="B37" s="11" t="b">
        <v>1</v>
      </c>
      <c r="C37" s="11" t="b">
        <v>1</v>
      </c>
      <c r="D37" s="11" t="b">
        <v>1</v>
      </c>
      <c r="E37" s="11" t="b">
        <v>1</v>
      </c>
      <c r="F37" s="11" t="b">
        <v>0</v>
      </c>
      <c r="G37" s="11" t="b">
        <v>1</v>
      </c>
      <c r="H37" s="11" t="b">
        <v>1</v>
      </c>
      <c r="I37" s="11" t="b">
        <v>0</v>
      </c>
      <c r="J37" s="11" t="b">
        <v>1</v>
      </c>
      <c r="K37" s="11" t="b">
        <v>0</v>
      </c>
      <c r="L37" s="11" t="b">
        <v>0</v>
      </c>
      <c r="M37" s="11" t="b">
        <v>1</v>
      </c>
      <c r="N37" s="9"/>
      <c r="O37" s="9"/>
    </row>
    <row r="38" spans="1:15">
      <c r="A38" s="10" t="s">
        <v>61</v>
      </c>
      <c r="B38" s="4" t="b">
        <v>1</v>
      </c>
      <c r="C38" s="4" t="b">
        <v>1</v>
      </c>
      <c r="D38" s="4" t="b">
        <v>1</v>
      </c>
      <c r="E38" s="4" t="b">
        <v>1</v>
      </c>
      <c r="F38" s="4" t="b">
        <v>1</v>
      </c>
      <c r="G38" s="4" t="b">
        <v>0</v>
      </c>
      <c r="H38" s="4" t="b">
        <v>0</v>
      </c>
      <c r="I38" s="4" t="b">
        <v>1</v>
      </c>
      <c r="J38" s="4" t="b">
        <v>1</v>
      </c>
      <c r="K38" s="4" t="b">
        <v>0</v>
      </c>
      <c r="L38" s="4" t="b">
        <v>1</v>
      </c>
      <c r="M38" s="4" t="b">
        <v>1</v>
      </c>
      <c r="N38" s="10"/>
      <c r="O38" s="10"/>
    </row>
    <row r="40" spans="1:15">
      <c r="B40">
        <f>COUNTIF(B5:B38,TRUE)</f>
        <v>33</v>
      </c>
      <c r="C40">
        <f t="shared" ref="C40:M40" si="0">COUNTIF(C5:C38,TRUE)</f>
        <v>32</v>
      </c>
      <c r="D40">
        <f t="shared" si="0"/>
        <v>32</v>
      </c>
      <c r="E40">
        <f t="shared" si="0"/>
        <v>34</v>
      </c>
      <c r="F40">
        <f t="shared" si="0"/>
        <v>29</v>
      </c>
      <c r="G40">
        <f t="shared" si="0"/>
        <v>33</v>
      </c>
      <c r="H40">
        <f t="shared" si="0"/>
        <v>33</v>
      </c>
      <c r="I40">
        <f t="shared" si="0"/>
        <v>18</v>
      </c>
      <c r="J40">
        <f t="shared" si="0"/>
        <v>29</v>
      </c>
      <c r="K40">
        <f t="shared" si="0"/>
        <v>26</v>
      </c>
      <c r="L40">
        <f t="shared" si="0"/>
        <v>14</v>
      </c>
      <c r="M40">
        <f t="shared" si="0"/>
        <v>32</v>
      </c>
    </row>
    <row r="41" spans="1:15">
      <c r="B41">
        <f>B40*B2</f>
        <v>2145</v>
      </c>
      <c r="C41">
        <f t="shared" ref="C41:M41" si="1">C40*C2</f>
        <v>2080</v>
      </c>
      <c r="D41">
        <f t="shared" si="1"/>
        <v>1280</v>
      </c>
      <c r="E41">
        <f t="shared" si="1"/>
        <v>3400</v>
      </c>
      <c r="F41">
        <f t="shared" si="1"/>
        <v>2030</v>
      </c>
      <c r="G41">
        <f t="shared" si="1"/>
        <v>1320</v>
      </c>
      <c r="H41">
        <f t="shared" si="1"/>
        <v>1320</v>
      </c>
      <c r="I41">
        <f t="shared" si="1"/>
        <v>900</v>
      </c>
      <c r="J41">
        <f t="shared" si="1"/>
        <v>1740</v>
      </c>
      <c r="K41">
        <f t="shared" si="1"/>
        <v>1040</v>
      </c>
      <c r="L41">
        <f t="shared" si="1"/>
        <v>420</v>
      </c>
      <c r="M41">
        <f t="shared" si="1"/>
        <v>2080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J2" sqref="J2"/>
    </sheetView>
  </sheetViews>
  <sheetFormatPr defaultRowHeight="14.6"/>
  <cols>
    <col min="1" max="1" width="11.07421875" bestFit="1" customWidth="1"/>
    <col min="2" max="2" width="8.69140625" customWidth="1"/>
    <col min="3" max="3" width="8.3046875" customWidth="1"/>
    <col min="4" max="4" width="6" customWidth="1"/>
    <col min="5" max="5" width="8" customWidth="1"/>
    <col min="6" max="6" width="9" customWidth="1"/>
    <col min="7" max="7" width="5.23046875" bestFit="1" customWidth="1"/>
    <col min="8" max="8" width="8.3828125" customWidth="1"/>
    <col min="9" max="9" width="6.15234375" customWidth="1"/>
    <col min="10" max="10" width="10.23046875" customWidth="1"/>
  </cols>
  <sheetData>
    <row r="1" spans="1:10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>
      <c r="A2" s="3" t="s">
        <v>27</v>
      </c>
      <c r="B2" s="4" t="b">
        <v>1</v>
      </c>
      <c r="C2" s="4" t="b">
        <v>0</v>
      </c>
      <c r="D2" s="4" t="b">
        <v>0</v>
      </c>
      <c r="E2" s="4" t="b">
        <v>1</v>
      </c>
      <c r="F2">
        <v>225</v>
      </c>
      <c r="G2">
        <v>27</v>
      </c>
      <c r="H2">
        <v>4</v>
      </c>
      <c r="I2">
        <v>3</v>
      </c>
      <c r="J2">
        <f>(G2+ (H2*5) + (I2*0)) * F2</f>
        <v>10575</v>
      </c>
    </row>
    <row r="3" spans="1:10">
      <c r="A3" s="3" t="s">
        <v>26</v>
      </c>
      <c r="B3" s="4" t="b">
        <v>1</v>
      </c>
      <c r="C3" s="4" t="b">
        <v>0</v>
      </c>
      <c r="D3" s="4" t="b">
        <v>0</v>
      </c>
      <c r="E3" s="4" t="b">
        <v>1</v>
      </c>
      <c r="F3">
        <v>40</v>
      </c>
      <c r="G3">
        <v>27</v>
      </c>
      <c r="H3">
        <v>4</v>
      </c>
      <c r="I3">
        <v>3</v>
      </c>
      <c r="J3">
        <f>(G3+H3+I3) *F3</f>
        <v>1360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ExcusionSales</vt:lpstr>
      <vt:lpstr>BaseServices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ersen celebi</cp:lastModifiedBy>
  <dcterms:created xsi:type="dcterms:W3CDTF">2026-08-02T14:17:37Z</dcterms:created>
  <dcterms:modified xsi:type="dcterms:W3CDTF">2026-08-02T14:52:27Z</dcterms:modified>
</cp:coreProperties>
</file>