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Ersen\Projects_2025\Uno_ERP\Uno_E2E_Tests\20260731_import\"/>
    </mc:Choice>
  </mc:AlternateContent>
  <xr:revisionPtr revIDLastSave="0" documentId="13_ncr:1_{9D732F91-0C6C-4F37-B523-4B5E07C71729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ExcusionSales" sheetId="1" r:id="rId1"/>
    <sheet name="BaseServices" sheetId="8" r:id="rId2"/>
    <sheet name="ServicesList" sheetId="9" r:id="rId3"/>
    <sheet name="Oteller" sheetId="2" r:id="rId4"/>
    <sheet name="Track" sheetId="3" r:id="rId5"/>
    <sheet name="Harcamalar" sheetId="4" r:id="rId6"/>
    <sheet name="SatisOzet" sheetId="5" r:id="rId7"/>
    <sheet name="Hesap" sheetId="6" r:id="rId8"/>
    <sheet name="Satislistesi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8" l="1"/>
  <c r="J2" i="8"/>
  <c r="N50" i="7"/>
  <c r="M50" i="7"/>
  <c r="L49" i="7"/>
  <c r="K49" i="7"/>
  <c r="J49" i="7"/>
  <c r="I49" i="7"/>
  <c r="H49" i="7"/>
  <c r="G49" i="7"/>
  <c r="F49" i="7"/>
  <c r="E49" i="7"/>
  <c r="D49" i="7"/>
  <c r="C49" i="7"/>
  <c r="O49" i="7" s="1"/>
  <c r="B49" i="7"/>
  <c r="A49" i="7"/>
  <c r="L48" i="7"/>
  <c r="K48" i="7"/>
  <c r="J48" i="7"/>
  <c r="I48" i="7"/>
  <c r="H48" i="7"/>
  <c r="G48" i="7"/>
  <c r="F48" i="7"/>
  <c r="E48" i="7"/>
  <c r="D48" i="7"/>
  <c r="C48" i="7"/>
  <c r="B48" i="7"/>
  <c r="A48" i="7"/>
  <c r="L47" i="7"/>
  <c r="K47" i="7"/>
  <c r="J47" i="7"/>
  <c r="I47" i="7"/>
  <c r="H47" i="7"/>
  <c r="G47" i="7"/>
  <c r="F47" i="7"/>
  <c r="E47" i="7"/>
  <c r="D47" i="7"/>
  <c r="C47" i="7"/>
  <c r="O47" i="7" s="1"/>
  <c r="B47" i="7"/>
  <c r="A47" i="7"/>
  <c r="L46" i="7"/>
  <c r="K46" i="7"/>
  <c r="J46" i="7"/>
  <c r="I46" i="7"/>
  <c r="H46" i="7"/>
  <c r="G46" i="7"/>
  <c r="F46" i="7"/>
  <c r="E46" i="7"/>
  <c r="D46" i="7"/>
  <c r="C46" i="7"/>
  <c r="O46" i="7" s="1"/>
  <c r="B46" i="7"/>
  <c r="A46" i="7"/>
  <c r="L45" i="7"/>
  <c r="K45" i="7"/>
  <c r="J45" i="7"/>
  <c r="I45" i="7"/>
  <c r="H45" i="7"/>
  <c r="G45" i="7"/>
  <c r="F45" i="7"/>
  <c r="E45" i="7"/>
  <c r="D45" i="7"/>
  <c r="C45" i="7"/>
  <c r="B45" i="7"/>
  <c r="A45" i="7"/>
  <c r="L44" i="7"/>
  <c r="K44" i="7"/>
  <c r="J44" i="7"/>
  <c r="I44" i="7"/>
  <c r="H44" i="7"/>
  <c r="G44" i="7"/>
  <c r="F44" i="7"/>
  <c r="E44" i="7"/>
  <c r="D44" i="7"/>
  <c r="C44" i="7"/>
  <c r="O44" i="7" s="1"/>
  <c r="B44" i="7"/>
  <c r="A44" i="7"/>
  <c r="L43" i="7"/>
  <c r="K43" i="7"/>
  <c r="J43" i="7"/>
  <c r="I43" i="7"/>
  <c r="H43" i="7"/>
  <c r="G43" i="7"/>
  <c r="F43" i="7"/>
  <c r="E43" i="7"/>
  <c r="D43" i="7"/>
  <c r="C43" i="7"/>
  <c r="B43" i="7"/>
  <c r="A43" i="7"/>
  <c r="L42" i="7"/>
  <c r="K42" i="7"/>
  <c r="J42" i="7"/>
  <c r="I42" i="7"/>
  <c r="H42" i="7"/>
  <c r="G42" i="7"/>
  <c r="F42" i="7"/>
  <c r="E42" i="7"/>
  <c r="D42" i="7"/>
  <c r="C42" i="7"/>
  <c r="B42" i="7"/>
  <c r="A42" i="7"/>
  <c r="L41" i="7"/>
  <c r="K41" i="7"/>
  <c r="J41" i="7"/>
  <c r="I41" i="7"/>
  <c r="H41" i="7"/>
  <c r="G41" i="7"/>
  <c r="F41" i="7"/>
  <c r="E41" i="7"/>
  <c r="D41" i="7"/>
  <c r="C41" i="7"/>
  <c r="B41" i="7"/>
  <c r="A41" i="7"/>
  <c r="L40" i="7"/>
  <c r="K40" i="7"/>
  <c r="J40" i="7"/>
  <c r="I40" i="7"/>
  <c r="H40" i="7"/>
  <c r="G40" i="7"/>
  <c r="F40" i="7"/>
  <c r="E40" i="7"/>
  <c r="D40" i="7"/>
  <c r="C40" i="7"/>
  <c r="O40" i="7" s="1"/>
  <c r="B40" i="7"/>
  <c r="A40" i="7"/>
  <c r="L39" i="7"/>
  <c r="K39" i="7"/>
  <c r="J39" i="7"/>
  <c r="I39" i="7"/>
  <c r="H39" i="7"/>
  <c r="G39" i="7"/>
  <c r="F39" i="7"/>
  <c r="E39" i="7"/>
  <c r="D39" i="7"/>
  <c r="C39" i="7"/>
  <c r="O39" i="7" s="1"/>
  <c r="B39" i="7"/>
  <c r="A39" i="7"/>
  <c r="L38" i="7"/>
  <c r="K38" i="7"/>
  <c r="J38" i="7"/>
  <c r="I38" i="7"/>
  <c r="H38" i="7"/>
  <c r="O38" i="7" s="1"/>
  <c r="G38" i="7"/>
  <c r="F38" i="7"/>
  <c r="E38" i="7"/>
  <c r="D38" i="7"/>
  <c r="C38" i="7"/>
  <c r="B38" i="7"/>
  <c r="A38" i="7"/>
  <c r="L37" i="7"/>
  <c r="K37" i="7"/>
  <c r="J37" i="7"/>
  <c r="I37" i="7"/>
  <c r="H37" i="7"/>
  <c r="G37" i="7"/>
  <c r="F37" i="7"/>
  <c r="E37" i="7"/>
  <c r="D37" i="7"/>
  <c r="C37" i="7"/>
  <c r="O37" i="7" s="1"/>
  <c r="B37" i="7"/>
  <c r="A37" i="7"/>
  <c r="L36" i="7"/>
  <c r="K36" i="7"/>
  <c r="J36" i="7"/>
  <c r="I36" i="7"/>
  <c r="H36" i="7"/>
  <c r="G36" i="7"/>
  <c r="F36" i="7"/>
  <c r="E36" i="7"/>
  <c r="D36" i="7"/>
  <c r="C36" i="7"/>
  <c r="B36" i="7"/>
  <c r="A36" i="7"/>
  <c r="L35" i="7"/>
  <c r="K35" i="7"/>
  <c r="J35" i="7"/>
  <c r="I35" i="7"/>
  <c r="H35" i="7"/>
  <c r="G35" i="7"/>
  <c r="F35" i="7"/>
  <c r="E35" i="7"/>
  <c r="D35" i="7"/>
  <c r="C35" i="7"/>
  <c r="O35" i="7" s="1"/>
  <c r="B35" i="7"/>
  <c r="A35" i="7"/>
  <c r="L34" i="7"/>
  <c r="K34" i="7"/>
  <c r="J34" i="7"/>
  <c r="I34" i="7"/>
  <c r="H34" i="7"/>
  <c r="G34" i="7"/>
  <c r="F34" i="7"/>
  <c r="E34" i="7"/>
  <c r="D34" i="7"/>
  <c r="C34" i="7"/>
  <c r="O34" i="7" s="1"/>
  <c r="B34" i="7"/>
  <c r="A34" i="7"/>
  <c r="L33" i="7"/>
  <c r="K33" i="7"/>
  <c r="J33" i="7"/>
  <c r="I33" i="7"/>
  <c r="H33" i="7"/>
  <c r="G33" i="7"/>
  <c r="F33" i="7"/>
  <c r="E33" i="7"/>
  <c r="D33" i="7"/>
  <c r="C33" i="7"/>
  <c r="B33" i="7"/>
  <c r="A33" i="7"/>
  <c r="L32" i="7"/>
  <c r="K32" i="7"/>
  <c r="J32" i="7"/>
  <c r="I32" i="7"/>
  <c r="H32" i="7"/>
  <c r="G32" i="7"/>
  <c r="F32" i="7"/>
  <c r="E32" i="7"/>
  <c r="D32" i="7"/>
  <c r="C32" i="7"/>
  <c r="O32" i="7" s="1"/>
  <c r="B32" i="7"/>
  <c r="A32" i="7"/>
  <c r="L31" i="7"/>
  <c r="K31" i="7"/>
  <c r="J31" i="7"/>
  <c r="I31" i="7"/>
  <c r="H31" i="7"/>
  <c r="G31" i="7"/>
  <c r="F31" i="7"/>
  <c r="E31" i="7"/>
  <c r="D31" i="7"/>
  <c r="C31" i="7"/>
  <c r="B31" i="7"/>
  <c r="A31" i="7"/>
  <c r="L30" i="7"/>
  <c r="K30" i="7"/>
  <c r="J30" i="7"/>
  <c r="I30" i="7"/>
  <c r="H30" i="7"/>
  <c r="G30" i="7"/>
  <c r="F30" i="7"/>
  <c r="E30" i="7"/>
  <c r="D30" i="7"/>
  <c r="C30" i="7"/>
  <c r="O30" i="7" s="1"/>
  <c r="B30" i="7"/>
  <c r="A30" i="7"/>
  <c r="L29" i="7"/>
  <c r="K29" i="7"/>
  <c r="J29" i="7"/>
  <c r="I29" i="7"/>
  <c r="H29" i="7"/>
  <c r="G29" i="7"/>
  <c r="F29" i="7"/>
  <c r="E29" i="7"/>
  <c r="D29" i="7"/>
  <c r="C29" i="7"/>
  <c r="O29" i="7" s="1"/>
  <c r="B29" i="7"/>
  <c r="A29" i="7"/>
  <c r="L28" i="7"/>
  <c r="K28" i="7"/>
  <c r="J28" i="7"/>
  <c r="I28" i="7"/>
  <c r="H28" i="7"/>
  <c r="G28" i="7"/>
  <c r="F28" i="7"/>
  <c r="E28" i="7"/>
  <c r="D28" i="7"/>
  <c r="C28" i="7"/>
  <c r="B28" i="7"/>
  <c r="A28" i="7"/>
  <c r="L27" i="7"/>
  <c r="K27" i="7"/>
  <c r="J27" i="7"/>
  <c r="I27" i="7"/>
  <c r="H27" i="7"/>
  <c r="G27" i="7"/>
  <c r="F27" i="7"/>
  <c r="E27" i="7"/>
  <c r="D27" i="7"/>
  <c r="C27" i="7"/>
  <c r="O27" i="7" s="1"/>
  <c r="B27" i="7"/>
  <c r="A27" i="7"/>
  <c r="L26" i="7"/>
  <c r="K26" i="7"/>
  <c r="J26" i="7"/>
  <c r="I26" i="7"/>
  <c r="H26" i="7"/>
  <c r="G26" i="7"/>
  <c r="F26" i="7"/>
  <c r="E26" i="7"/>
  <c r="D26" i="7"/>
  <c r="C26" i="7"/>
  <c r="B26" i="7"/>
  <c r="A26" i="7"/>
  <c r="L25" i="7"/>
  <c r="K25" i="7"/>
  <c r="J25" i="7"/>
  <c r="I25" i="7"/>
  <c r="H25" i="7"/>
  <c r="G25" i="7"/>
  <c r="F25" i="7"/>
  <c r="E25" i="7"/>
  <c r="D25" i="7"/>
  <c r="C25" i="7"/>
  <c r="O25" i="7" s="1"/>
  <c r="B25" i="7"/>
  <c r="A25" i="7"/>
  <c r="L24" i="7"/>
  <c r="K24" i="7"/>
  <c r="J24" i="7"/>
  <c r="I24" i="7"/>
  <c r="H24" i="7"/>
  <c r="G24" i="7"/>
  <c r="F24" i="7"/>
  <c r="E24" i="7"/>
  <c r="D24" i="7"/>
  <c r="C24" i="7"/>
  <c r="O24" i="7" s="1"/>
  <c r="B24" i="7"/>
  <c r="A24" i="7"/>
  <c r="L23" i="7"/>
  <c r="K23" i="7"/>
  <c r="J23" i="7"/>
  <c r="I23" i="7"/>
  <c r="H23" i="7"/>
  <c r="G23" i="7"/>
  <c r="F23" i="7"/>
  <c r="E23" i="7"/>
  <c r="D23" i="7"/>
  <c r="C23" i="7"/>
  <c r="B23" i="7"/>
  <c r="A23" i="7"/>
  <c r="L22" i="7"/>
  <c r="K22" i="7"/>
  <c r="J22" i="7"/>
  <c r="I22" i="7"/>
  <c r="H22" i="7"/>
  <c r="G22" i="7"/>
  <c r="F22" i="7"/>
  <c r="E22" i="7"/>
  <c r="D22" i="7"/>
  <c r="C22" i="7"/>
  <c r="O22" i="7" s="1"/>
  <c r="B22" i="7"/>
  <c r="A22" i="7"/>
  <c r="L21" i="7"/>
  <c r="K21" i="7"/>
  <c r="J21" i="7"/>
  <c r="I21" i="7"/>
  <c r="H21" i="7"/>
  <c r="G21" i="7"/>
  <c r="F21" i="7"/>
  <c r="E21" i="7"/>
  <c r="D21" i="7"/>
  <c r="C21" i="7"/>
  <c r="B21" i="7"/>
  <c r="A21" i="7"/>
  <c r="L20" i="7"/>
  <c r="K20" i="7"/>
  <c r="J20" i="7"/>
  <c r="I20" i="7"/>
  <c r="H20" i="7"/>
  <c r="G20" i="7"/>
  <c r="F20" i="7"/>
  <c r="E20" i="7"/>
  <c r="D20" i="7"/>
  <c r="C20" i="7"/>
  <c r="O20" i="7" s="1"/>
  <c r="B20" i="7"/>
  <c r="A20" i="7"/>
  <c r="L19" i="7"/>
  <c r="K19" i="7"/>
  <c r="J19" i="7"/>
  <c r="I19" i="7"/>
  <c r="H19" i="7"/>
  <c r="G19" i="7"/>
  <c r="F19" i="7"/>
  <c r="E19" i="7"/>
  <c r="D19" i="7"/>
  <c r="C19" i="7"/>
  <c r="B19" i="7"/>
  <c r="A19" i="7"/>
  <c r="L18" i="7"/>
  <c r="K18" i="7"/>
  <c r="J18" i="7"/>
  <c r="I18" i="7"/>
  <c r="H18" i="7"/>
  <c r="G18" i="7"/>
  <c r="F18" i="7"/>
  <c r="E18" i="7"/>
  <c r="D18" i="7"/>
  <c r="C18" i="7"/>
  <c r="O18" i="7" s="1"/>
  <c r="B18" i="7"/>
  <c r="A18" i="7"/>
  <c r="L17" i="7"/>
  <c r="K17" i="7"/>
  <c r="J17" i="7"/>
  <c r="I17" i="7"/>
  <c r="H17" i="7"/>
  <c r="G17" i="7"/>
  <c r="F17" i="7"/>
  <c r="E17" i="7"/>
  <c r="D17" i="7"/>
  <c r="C17" i="7"/>
  <c r="O17" i="7" s="1"/>
  <c r="B17" i="7"/>
  <c r="A17" i="7"/>
  <c r="L16" i="7"/>
  <c r="K16" i="7"/>
  <c r="J16" i="7"/>
  <c r="I16" i="7"/>
  <c r="H16" i="7"/>
  <c r="G16" i="7"/>
  <c r="F16" i="7"/>
  <c r="E16" i="7"/>
  <c r="D16" i="7"/>
  <c r="C16" i="7"/>
  <c r="B16" i="7"/>
  <c r="A16" i="7"/>
  <c r="L15" i="7"/>
  <c r="K15" i="7"/>
  <c r="J15" i="7"/>
  <c r="I15" i="7"/>
  <c r="H15" i="7"/>
  <c r="G15" i="7"/>
  <c r="F15" i="7"/>
  <c r="E15" i="7"/>
  <c r="D15" i="7"/>
  <c r="C15" i="7"/>
  <c r="O15" i="7" s="1"/>
  <c r="B15" i="7"/>
  <c r="A15" i="7"/>
  <c r="L14" i="7"/>
  <c r="K14" i="7"/>
  <c r="J14" i="7"/>
  <c r="I14" i="7"/>
  <c r="H14" i="7"/>
  <c r="G14" i="7"/>
  <c r="F14" i="7"/>
  <c r="E14" i="7"/>
  <c r="D14" i="7"/>
  <c r="C14" i="7"/>
  <c r="B14" i="7"/>
  <c r="A14" i="7"/>
  <c r="L13" i="7"/>
  <c r="K13" i="7"/>
  <c r="J13" i="7"/>
  <c r="I13" i="7"/>
  <c r="H13" i="7"/>
  <c r="G13" i="7"/>
  <c r="F13" i="7"/>
  <c r="E13" i="7"/>
  <c r="D13" i="7"/>
  <c r="C13" i="7"/>
  <c r="O13" i="7" s="1"/>
  <c r="B13" i="7"/>
  <c r="A13" i="7"/>
  <c r="L12" i="7"/>
  <c r="K12" i="7"/>
  <c r="J12" i="7"/>
  <c r="I12" i="7"/>
  <c r="H12" i="7"/>
  <c r="G12" i="7"/>
  <c r="F12" i="7"/>
  <c r="E12" i="7"/>
  <c r="D12" i="7"/>
  <c r="C12" i="7"/>
  <c r="O12" i="7" s="1"/>
  <c r="B12" i="7"/>
  <c r="A12" i="7"/>
  <c r="L11" i="7"/>
  <c r="K11" i="7"/>
  <c r="J11" i="7"/>
  <c r="I11" i="7"/>
  <c r="H11" i="7"/>
  <c r="G11" i="7"/>
  <c r="F11" i="7"/>
  <c r="E11" i="7"/>
  <c r="D11" i="7"/>
  <c r="C11" i="7"/>
  <c r="B11" i="7"/>
  <c r="A11" i="7"/>
  <c r="L10" i="7"/>
  <c r="K10" i="7"/>
  <c r="J10" i="7"/>
  <c r="I10" i="7"/>
  <c r="H10" i="7"/>
  <c r="G10" i="7"/>
  <c r="F10" i="7"/>
  <c r="E10" i="7"/>
  <c r="D10" i="7"/>
  <c r="C10" i="7"/>
  <c r="O10" i="7" s="1"/>
  <c r="B10" i="7"/>
  <c r="A10" i="7"/>
  <c r="L9" i="7"/>
  <c r="K9" i="7"/>
  <c r="J9" i="7"/>
  <c r="I9" i="7"/>
  <c r="H9" i="7"/>
  <c r="G9" i="7"/>
  <c r="F9" i="7"/>
  <c r="E9" i="7"/>
  <c r="D9" i="7"/>
  <c r="C9" i="7"/>
  <c r="B9" i="7"/>
  <c r="A9" i="7"/>
  <c r="L8" i="7"/>
  <c r="K8" i="7"/>
  <c r="J8" i="7"/>
  <c r="I8" i="7"/>
  <c r="H8" i="7"/>
  <c r="G8" i="7"/>
  <c r="F8" i="7"/>
  <c r="E8" i="7"/>
  <c r="D8" i="7"/>
  <c r="C8" i="7"/>
  <c r="O8" i="7" s="1"/>
  <c r="B8" i="7"/>
  <c r="A8" i="7"/>
  <c r="L7" i="7"/>
  <c r="K7" i="7"/>
  <c r="J7" i="7"/>
  <c r="I7" i="7"/>
  <c r="H7" i="7"/>
  <c r="G7" i="7"/>
  <c r="F7" i="7"/>
  <c r="E7" i="7"/>
  <c r="D7" i="7"/>
  <c r="C7" i="7"/>
  <c r="O7" i="7" s="1"/>
  <c r="B7" i="7"/>
  <c r="A7" i="7"/>
  <c r="L6" i="7"/>
  <c r="K6" i="7"/>
  <c r="J6" i="7"/>
  <c r="I6" i="7"/>
  <c r="H6" i="7"/>
  <c r="G6" i="7"/>
  <c r="F6" i="7"/>
  <c r="E6" i="7"/>
  <c r="D6" i="7"/>
  <c r="C6" i="7"/>
  <c r="B6" i="7"/>
  <c r="A6" i="7"/>
  <c r="L5" i="7"/>
  <c r="K5" i="7"/>
  <c r="J5" i="7"/>
  <c r="I5" i="7"/>
  <c r="H5" i="7"/>
  <c r="G5" i="7"/>
  <c r="F5" i="7"/>
  <c r="E5" i="7"/>
  <c r="D5" i="7"/>
  <c r="C5" i="7"/>
  <c r="O5" i="7" s="1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G50" i="7" s="1"/>
  <c r="F3" i="7"/>
  <c r="F50" i="7" s="1"/>
  <c r="E3" i="7"/>
  <c r="D3" i="7"/>
  <c r="D50" i="7" s="1"/>
  <c r="C3" i="7"/>
  <c r="B3" i="7"/>
  <c r="A3" i="7"/>
  <c r="C6" i="6"/>
  <c r="C5" i="6"/>
  <c r="F67" i="5"/>
  <c r="E67" i="5"/>
  <c r="D67" i="5"/>
  <c r="C67" i="5"/>
  <c r="C14" i="5"/>
  <c r="B14" i="5"/>
  <c r="E13" i="5"/>
  <c r="D13" i="5"/>
  <c r="D12" i="5"/>
  <c r="E12" i="5" s="1"/>
  <c r="E11" i="5"/>
  <c r="D11" i="5"/>
  <c r="D10" i="5"/>
  <c r="E10" i="5" s="1"/>
  <c r="D9" i="5"/>
  <c r="E9" i="5" s="1"/>
  <c r="D8" i="5"/>
  <c r="E8" i="5" s="1"/>
  <c r="D7" i="5"/>
  <c r="E7" i="5" s="1"/>
  <c r="H6" i="5"/>
  <c r="D6" i="5"/>
  <c r="E6" i="5" s="1"/>
  <c r="D5" i="5"/>
  <c r="E5" i="5" s="1"/>
  <c r="H4" i="5"/>
  <c r="D4" i="5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I16" i="4" s="1"/>
  <c r="H4" i="4"/>
  <c r="K3" i="3"/>
  <c r="K9" i="3" s="1"/>
  <c r="K11" i="3" s="1"/>
  <c r="N53" i="1"/>
  <c r="O53" i="1" s="1"/>
  <c r="N51" i="1"/>
  <c r="L51" i="1"/>
  <c r="L52" i="1" s="1"/>
  <c r="J51" i="1"/>
  <c r="J52" i="1" s="1"/>
  <c r="I51" i="1"/>
  <c r="I52" i="1" s="1"/>
  <c r="H51" i="1"/>
  <c r="H52" i="1" s="1"/>
  <c r="G51" i="1"/>
  <c r="G52" i="1" s="1"/>
  <c r="F51" i="1"/>
  <c r="F52" i="1" s="1"/>
  <c r="E51" i="1"/>
  <c r="E52" i="1" s="1"/>
  <c r="D51" i="1"/>
  <c r="D52" i="1" s="1"/>
  <c r="C51" i="1"/>
  <c r="C52" i="1" s="1"/>
  <c r="B51" i="1"/>
  <c r="B52" i="1" s="1"/>
  <c r="O29" i="1"/>
  <c r="N3" i="1"/>
  <c r="O42" i="7" l="1"/>
  <c r="O48" i="7"/>
  <c r="O45" i="7"/>
  <c r="O43" i="7"/>
  <c r="O41" i="7"/>
  <c r="O36" i="7"/>
  <c r="O33" i="7"/>
  <c r="O31" i="7"/>
  <c r="H50" i="7"/>
  <c r="O28" i="7"/>
  <c r="O26" i="7"/>
  <c r="I50" i="7"/>
  <c r="O23" i="7"/>
  <c r="O21" i="7"/>
  <c r="O19" i="7"/>
  <c r="K50" i="7"/>
  <c r="O16" i="7"/>
  <c r="O14" i="7"/>
  <c r="J50" i="7"/>
  <c r="O11" i="7"/>
  <c r="O9" i="7"/>
  <c r="L50" i="7"/>
  <c r="O6" i="7"/>
  <c r="O4" i="7"/>
  <c r="E50" i="7"/>
  <c r="O3" i="7"/>
  <c r="C50" i="7"/>
  <c r="E4" i="5"/>
  <c r="E14" i="5" s="1"/>
  <c r="D14" i="5"/>
  <c r="I19" i="4"/>
  <c r="C17" i="6"/>
  <c r="C18" i="6" s="1"/>
  <c r="C9" i="6"/>
  <c r="N52" i="1"/>
  <c r="O52" i="1"/>
  <c r="O50" i="7" l="1"/>
  <c r="H3" i="5"/>
  <c r="C4" i="6"/>
  <c r="H5" i="5" l="1"/>
  <c r="H7" i="5" s="1"/>
  <c r="C7" i="6"/>
  <c r="C12" i="6" s="1"/>
</calcChain>
</file>

<file path=xl/sharedStrings.xml><?xml version="1.0" encoding="utf-8"?>
<sst xmlns="http://schemas.openxmlformats.org/spreadsheetml/2006/main" count="375" uniqueCount="264">
  <si>
    <t>EURO</t>
  </si>
  <si>
    <t>Isim Soyad</t>
  </si>
  <si>
    <t>1-Dresden</t>
  </si>
  <si>
    <t>2-Tekne</t>
  </si>
  <si>
    <t>3-KV</t>
  </si>
  <si>
    <t>8-Bratislava</t>
  </si>
  <si>
    <t>10-Konser</t>
  </si>
  <si>
    <t>AYSUNUYGUN</t>
  </si>
  <si>
    <t>Mehmet BarışAltun</t>
  </si>
  <si>
    <t>TugbaAltun</t>
  </si>
  <si>
    <t>Gül CananFettahlıoğlu</t>
  </si>
  <si>
    <t>Ramazan YaşarFettahlıoğlu</t>
  </si>
  <si>
    <t>860 eu</t>
  </si>
  <si>
    <t>Samiye NurFettahlıoğlu</t>
  </si>
  <si>
    <t>Abdullah CemFettahlıoğlu</t>
  </si>
  <si>
    <t>VacideSever</t>
  </si>
  <si>
    <t>MetinMutlu</t>
  </si>
  <si>
    <t>İBRAHİM HALİLERTAN</t>
  </si>
  <si>
    <t>TUBAERTAN</t>
  </si>
  <si>
    <t>BÜŞRA NEVİNERTAN</t>
  </si>
  <si>
    <t>HATİCEKUŞ KARAKURT</t>
  </si>
  <si>
    <t>ALPTEKİNKARAKURT</t>
  </si>
  <si>
    <t>ASYA BALIMKARAKURT</t>
  </si>
  <si>
    <t>DAMLAKİREMİTCİ</t>
  </si>
  <si>
    <t>ALTANKİREMİTCİ</t>
  </si>
  <si>
    <t>ARYAKİREMİTCİ</t>
  </si>
  <si>
    <t>EMİNEDUZ</t>
  </si>
  <si>
    <t>AYLİZKOCABAŞ</t>
  </si>
  <si>
    <t>MERVEKOCABAŞ</t>
  </si>
  <si>
    <t>BerkanKaya</t>
  </si>
  <si>
    <t>SENEMKAYA</t>
  </si>
  <si>
    <t>MECİTUYGUN</t>
  </si>
  <si>
    <t>ASİYEUYGUN</t>
  </si>
  <si>
    <t>DEMİRUYGUN</t>
  </si>
  <si>
    <t>BARIŞUYGUN</t>
  </si>
  <si>
    <t>EMELİNAN</t>
  </si>
  <si>
    <t>ZAFERİNAN</t>
  </si>
  <si>
    <t>ASİLİNAN</t>
  </si>
  <si>
    <t>DEMİRİNAN</t>
  </si>
  <si>
    <t>M. HUSEYINKIMYONOGLU</t>
  </si>
  <si>
    <t>INANCKIMYONOGLU</t>
  </si>
  <si>
    <t>MEHMET LUTFIKIMYONOGLU</t>
  </si>
  <si>
    <t>AZRAKIMYONOGLU</t>
  </si>
  <si>
    <t xml:space="preserve">SEMRAKEZBAN ARSLAN </t>
  </si>
  <si>
    <t>ARZUSASMAZ</t>
  </si>
  <si>
    <t xml:space="preserve">MUNTECEPSANLI </t>
  </si>
  <si>
    <t>SABAHATŞANLI</t>
  </si>
  <si>
    <t>HAYDAR ERCAN  </t>
  </si>
  <si>
    <t>SİBEL ERCAN  </t>
  </si>
  <si>
    <t xml:space="preserve">HİLAL SANLI </t>
  </si>
  <si>
    <t xml:space="preserve">LİNAŞANLI </t>
  </si>
  <si>
    <t xml:space="preserve">GÜLÇİN  DURMAZ </t>
  </si>
  <si>
    <t xml:space="preserve">KENAN KAYRA  DAN </t>
  </si>
  <si>
    <t xml:space="preserve">MERT BUGRA DAN </t>
  </si>
  <si>
    <t>SEDAT ÖZDEMİR</t>
  </si>
  <si>
    <t xml:space="preserve">3* PrimeStay Budapest </t>
  </si>
  <si>
    <t xml:space="preserve">https://www.primestaysbudapest.com/ </t>
  </si>
  <si>
    <t>Address: Budapest, Országbíró u. 44-46, 1139 Hungary</t>
  </si>
  <si>
    <t>Phone: +36 30 517 0471</t>
  </si>
  <si>
    <t xml:space="preserve">5*Grand Plaza Hotel </t>
  </si>
  <si>
    <t>https://www.grandplazahotel.si/</t>
  </si>
  <si>
    <t xml:space="preserve"> Address: Slovenska cesta 60, 1000 Ljubljana, Slovenia</t>
  </si>
  <si>
    <t>Phone: +386 1 243 01 00</t>
  </si>
  <si>
    <t xml:space="preserve">4*Hotel Blue </t>
  </si>
  <si>
    <t xml:space="preserve">https://www.hotelblue.eu/en/ </t>
  </si>
  <si>
    <t>Address: Ul. grada Vukovara 20, 10000, Zagreb, Croatia</t>
  </si>
  <si>
    <t>Phone: +385 1 3333 600</t>
  </si>
  <si>
    <t xml:space="preserve">4*SLEEEP Hotel Vösendorf </t>
  </si>
  <si>
    <t>https://www.sleeep-hotel.at/en</t>
  </si>
  <si>
    <t>Adres: Nordring 20, 2334 Vösendorf</t>
  </si>
  <si>
    <t>Tel: +43 7243 52052-23</t>
  </si>
  <si>
    <t>Tasks</t>
  </si>
  <si>
    <t>Pre</t>
  </si>
  <si>
    <t xml:space="preserve">Day1 </t>
  </si>
  <si>
    <t xml:space="preserve">Day2 </t>
  </si>
  <si>
    <t xml:space="preserve">Day3 </t>
  </si>
  <si>
    <t>Day4</t>
  </si>
  <si>
    <t>Day5</t>
  </si>
  <si>
    <t>Day6</t>
  </si>
  <si>
    <t>Day7</t>
  </si>
  <si>
    <t>Day8</t>
  </si>
  <si>
    <t>Otel Reservasyon oda check</t>
  </si>
  <si>
    <t>Tuna Tekne Rez</t>
  </si>
  <si>
    <t>Cigan Rez</t>
  </si>
  <si>
    <t>Ronesans Rez.</t>
  </si>
  <si>
    <t>Ginzing Rez.</t>
  </si>
  <si>
    <t>Venedik</t>
  </si>
  <si>
    <t>SUM(Children discount)</t>
  </si>
  <si>
    <t>Child discount</t>
  </si>
  <si>
    <t>Total</t>
  </si>
  <si>
    <t>PCS 1107 BE-PBV - Harcamalar / Giderler</t>
  </si>
  <si>
    <t>CZK per EUR</t>
  </si>
  <si>
    <t>Tur No</t>
  </si>
  <si>
    <t>Tur</t>
  </si>
  <si>
    <t>Gider Kalemi</t>
  </si>
  <si>
    <t>Belge / Tedarikçi</t>
  </si>
  <si>
    <t>Tarih</t>
  </si>
  <si>
    <t>Para Birimi</t>
  </si>
  <si>
    <t>Belge Tutarı</t>
  </si>
  <si>
    <t>CZK/EUR Kuru</t>
  </si>
  <si>
    <t>EUR Karşılığı</t>
  </si>
  <si>
    <t>Not</t>
  </si>
  <si>
    <t>Havalimanı otoparkı</t>
  </si>
  <si>
    <t>APCOA Parking – BER Airport</t>
  </si>
  <si>
    <t>11.07.2026</t>
  </si>
  <si>
    <t>EUR</t>
  </si>
  <si>
    <t>Bilette ücret görünmüyor; tutar gerekli.</t>
  </si>
  <si>
    <t>Berlin–Prag ulaşımı</t>
  </si>
  <si>
    <t>FlixBus booking #3368840110</t>
  </si>
  <si>
    <t>28.06.2026</t>
  </si>
  <si>
    <t>CZK</t>
  </si>
  <si>
    <t>729 CZK bilet + 9 CZK servis ücreti.</t>
  </si>
  <si>
    <t>Vltava tekne gideri</t>
  </si>
  <si>
    <t>Loď MORAVIA / Na Františku</t>
  </si>
  <si>
    <t>13.07.2026</t>
  </si>
  <si>
    <t>El yazısı tutar 662 olarak okunuyor; teyit önerilir.</t>
  </si>
  <si>
    <t>Karlovy Vary otoparkı</t>
  </si>
  <si>
    <t>Dopravní podnik Karlovy Vary</t>
  </si>
  <si>
    <t>Parkoviště Kome 32.</t>
  </si>
  <si>
    <t>4-Çek G.</t>
  </si>
  <si>
    <t>Folklor gösterisi</t>
  </si>
  <si>
    <t>Folklore Garden s.r.o.</t>
  </si>
  <si>
    <t>12.07.2026</t>
  </si>
  <si>
    <t>Belgede 703 + 7 EUR; 18 yetişkin + 2 çocuk.</t>
  </si>
  <si>
    <t>5-Tuna T.</t>
  </si>
  <si>
    <t>Şimdilik gider yok</t>
  </si>
  <si>
    <t>Kullanıcı talebiyle 0.</t>
  </si>
  <si>
    <t>6-Estergom</t>
  </si>
  <si>
    <t>7-Çigan</t>
  </si>
  <si>
    <t>9-Hallstatt</t>
  </si>
  <si>
    <t>TOPLAM BELGELİ GİDER</t>
  </si>
  <si>
    <t>Önceden bildirilen toplam gider</t>
  </si>
  <si>
    <t>Fark / Açıklanmayan tutar</t>
  </si>
  <si>
    <t>PCS 1107 BE-PBV - Satış Özeti</t>
  </si>
  <si>
    <t>Grand Total Reconciliation</t>
  </si>
  <si>
    <t>Acente Paket Satış</t>
  </si>
  <si>
    <t>Ersen Paket Satış</t>
  </si>
  <si>
    <t>Paket Toplam</t>
  </si>
  <si>
    <t>Ersen Satış Tek</t>
  </si>
  <si>
    <t>TurKatilim standard sales</t>
  </si>
  <si>
    <t>TurKatilim grand total</t>
  </si>
  <si>
    <t>Package discount (separate)</t>
  </si>
  <si>
    <t>Final revenue after package</t>
  </si>
  <si>
    <t>TOPLAM</t>
  </si>
  <si>
    <t>Kişi Bazında Satış Detayı</t>
  </si>
  <si>
    <t>İsim Soyad</t>
  </si>
  <si>
    <t>Satın Alınan Turlar</t>
  </si>
  <si>
    <t>Standart Toplam (€)</t>
  </si>
  <si>
    <t>Paket İndirimi (€)</t>
  </si>
  <si>
    <t>Renk İndirimi (€)</t>
  </si>
  <si>
    <t>Net Satış (€)</t>
  </si>
  <si>
    <t>1-Dresden (40€), 2-Tekne (50€), 3-KV (60€), 4-Çek G. (65€), 5-Tuna T. (40€), 6-Estergom (60€), 7-Çigan (70€), 8-Bratislava (40€), 9-Hallstatt (100€), 10-Konser (65€)</t>
  </si>
  <si>
    <t>1-Dresden (40€), 2-Tekne (50€), 3-KV (60€), 5-Tuna T. (40€), 6-Estergom (60€), 7-Çigan (70€), 9-Hallstatt (100€)</t>
  </si>
  <si>
    <t>1-Dresden (40€), 3-KV (60€), 5-Tuna T. (40€), 6-Estergom (60€), 8-Bratislava (40€)</t>
  </si>
  <si>
    <t>5-Tuna T. (40€), 6-Estergom (60€), 8-Bratislava (40€)</t>
  </si>
  <si>
    <t>1-Dresden (40€), 3-KV (60€), 6-Estergom (60€), 8-Bratislava (40€)</t>
  </si>
  <si>
    <t>Tur satışı yok</t>
  </si>
  <si>
    <t>1-Dresden (40€), 5-Tuna T. (40€)</t>
  </si>
  <si>
    <t>5-Tuna T. (40€)</t>
  </si>
  <si>
    <t>1-Dresden (40€), 2-Tekne (50€), 3-KV (60€), 8-Bratislava (40€)</t>
  </si>
  <si>
    <t>1-Dresden (40€), 2-Tekne (50€), 5-Tuna T. (40€), 6-Estergom (60€), 9-Hallstatt (100€)</t>
  </si>
  <si>
    <t>1-Dresden (40€), 2-Tekne (50€), 3-KV (60€), 4-Çek G. (65€), 5-Tuna T. (40€), 6-Estergom (60€), 8-Bratislava (40€)</t>
  </si>
  <si>
    <t>1-Dresden (40€), 2-Tekne (50€), 6-Estergom (60€), 9-Hallstatt (100€)</t>
  </si>
  <si>
    <t>2-Tekne (50€), 9-Hallstatt (100€)</t>
  </si>
  <si>
    <t>2-Tekne (50€)</t>
  </si>
  <si>
    <t>1-Dresden (40€), 2-Tekne (50€), 5-Tuna T. (40€), 9-Hallstatt (100€)</t>
  </si>
  <si>
    <t>1-Dresden (40€), 2-Tekne (50€), 4-Çek G. (65€), 5-Tuna T. (40€), 6-Estergom (60€), 8-Bratislava (40€), 9-Hallstatt (100€)</t>
  </si>
  <si>
    <t>2-Tekne (50€), 4-Çek G. (65€), 5-Tuna T. (40€), 9-Hallstatt (100€)</t>
  </si>
  <si>
    <t>SEMRAKEZBAN ARSLAN</t>
  </si>
  <si>
    <t>1-Dresden (40€), 2-Tekne (50€), 3-KV (60€), 4-Çek G. (65€), 5-Tuna T. (40€), 6-Estergom (60€), 8-Bratislava (40€), 9-Hallstatt (100€)</t>
  </si>
  <si>
    <t>1-Dresden (40€), 2-Tekne (50€), 4-Çek G. (65€), 6-Estergom (60€), 8-Bratislava (40€), 9-Hallstatt (100€)</t>
  </si>
  <si>
    <t>MUNTECEPSANLI</t>
  </si>
  <si>
    <t>1-Dresden (40€), 2-Tekne (50€), 3-KV (60€), 4-Çek G. (65€), 6-Estergom (60€), 8-Bratislava (40€), 9-Hallstatt (100€)</t>
  </si>
  <si>
    <t>1-Dresden (40€), 3-KV (60€), 4-Çek G. (65€), 6-Estergom (60€), 8-Bratislava (40€), 9-Hallstatt (100€)</t>
  </si>
  <si>
    <t>1-Dresden (40€), 3-KV (60€), 4-Çek G. (65€), 5-Tuna T. (40€), 6-Estergom (60€), 7-Çigan (70€), 8-Bratislava (40€), 9-Hallstatt (100€)</t>
  </si>
  <si>
    <t>HİLAL SANLI</t>
  </si>
  <si>
    <t>LİNAŞANLI</t>
  </si>
  <si>
    <t>GÜLÇİN  DURMAZ</t>
  </si>
  <si>
    <t>KENAN KAYRA  DAN</t>
  </si>
  <si>
    <t>MERT BUGRA DAN</t>
  </si>
  <si>
    <t>1-Dresden (40€), 2-Tekne (50€), 3-KV (60€), 4-Çek G. (65€), 5-Tuna T. (40€), 6-Estergom (60€), 7-Çigan (70€), 8-Bratislava (40€), 9-Hallstatt (100€)</t>
  </si>
  <si>
    <t>Ersen Çelebi - PCS 1107 BE-PBV Hesap</t>
  </si>
  <si>
    <t>Kalem</t>
  </si>
  <si>
    <t>Detay</t>
  </si>
  <si>
    <t>Tutar (€)</t>
  </si>
  <si>
    <t>Adet</t>
  </si>
  <si>
    <t>Birim (€)</t>
  </si>
  <si>
    <t>Standart tur satış toplamı</t>
  </si>
  <si>
    <t>Satislistesi C:L toplamı</t>
  </si>
  <si>
    <t>Paket turları 12 kişi için tamamlandı</t>
  </si>
  <si>
    <t>Paket indirimi</t>
  </si>
  <si>
    <t>12 x 25 EUR</t>
  </si>
  <si>
    <t>365 EUR yerine 340 EUR</t>
  </si>
  <si>
    <t>Çocuk indirimi</t>
  </si>
  <si>
    <t>TurKatilim N2</t>
  </si>
  <si>
    <t>Renkli işaretli 12 satış</t>
  </si>
  <si>
    <t>Düzeltilmiş toplam satış</t>
  </si>
  <si>
    <t>Standart + paket + çocuk indirimi</t>
  </si>
  <si>
    <t>Önceden alınan paket ödemeleri</t>
  </si>
  <si>
    <t>12 x 340 EUR</t>
  </si>
  <si>
    <t>Nakit bakiyeden düşülür</t>
  </si>
  <si>
    <t>Belgelendirilmiş tur giderleri</t>
  </si>
  <si>
    <t>Harcamalar detay toplamı</t>
  </si>
  <si>
    <t>Kur ve eksik tutarlar girilince otomatik güncellenir</t>
  </si>
  <si>
    <t>Günlük hizmet bedeli</t>
  </si>
  <si>
    <t>Mutabık kalınan tutar</t>
  </si>
  <si>
    <t>Komisyon</t>
  </si>
  <si>
    <t>KALAN NAKİT</t>
  </si>
  <si>
    <t>Gider Kontrolü</t>
  </si>
  <si>
    <t>Detaylı belgelerden hesaplanan gider</t>
  </si>
  <si>
    <t>Eksik / açıklanmayan fark</t>
  </si>
  <si>
    <t>PCS 1107 BE-PBV - Ersen Satış Listesi</t>
  </si>
  <si>
    <t>Geldi</t>
  </si>
  <si>
    <t>1-Dresden (40€)</t>
  </si>
  <si>
    <t>3-KV (60€)</t>
  </si>
  <si>
    <t>4-Çek G. (65€)</t>
  </si>
  <si>
    <t>6-Estergom (60€)</t>
  </si>
  <si>
    <t>7-Çigan (70€)</t>
  </si>
  <si>
    <t>8-Bratislava (40€)</t>
  </si>
  <si>
    <t>9-Hallstatt (100€)</t>
  </si>
  <si>
    <t>10-Konser (65€)</t>
  </si>
  <si>
    <t>Paket İndirimi</t>
  </si>
  <si>
    <t>Renk İndirimi</t>
  </si>
  <si>
    <t>TurKatilim Grand Total (€)</t>
  </si>
  <si>
    <t>1-PRG-Dresden</t>
  </si>
  <si>
    <t>2-PRG-Boat</t>
  </si>
  <si>
    <t>3-PRG-KV</t>
  </si>
  <si>
    <t>4-PRG-Folklor</t>
  </si>
  <si>
    <t>5-BDP-Boat</t>
  </si>
  <si>
    <t>6-BDP-Estergom</t>
  </si>
  <si>
    <t>7-BDP-VDP</t>
  </si>
  <si>
    <t>8-BDP-Brt</t>
  </si>
  <si>
    <t>9-VN-Hallstat</t>
  </si>
  <si>
    <t>10-VN-Gringsing</t>
  </si>
  <si>
    <t>11-VN-Concert</t>
  </si>
  <si>
    <t>Base Service</t>
  </si>
  <si>
    <t>Revenue</t>
  </si>
  <si>
    <t>Expense</t>
  </si>
  <si>
    <t>per/Pax</t>
  </si>
  <si>
    <t>Services</t>
  </si>
  <si>
    <t>Hotel</t>
  </si>
  <si>
    <t>Flight</t>
  </si>
  <si>
    <t>Transport</t>
  </si>
  <si>
    <t>Guide</t>
  </si>
  <si>
    <t>Driver</t>
  </si>
  <si>
    <t>Excursion</t>
  </si>
  <si>
    <t>Invoiced Fee</t>
  </si>
  <si>
    <t>Parking</t>
  </si>
  <si>
    <t>Tips</t>
  </si>
  <si>
    <t>City Tax</t>
  </si>
  <si>
    <t>Agengy Fee</t>
  </si>
  <si>
    <t>Adult</t>
  </si>
  <si>
    <t>Children</t>
  </si>
  <si>
    <t>Infant</t>
  </si>
  <si>
    <t>UnitPrice</t>
  </si>
  <si>
    <t>CityTax</t>
  </si>
  <si>
    <t>Date</t>
  </si>
  <si>
    <t>01.09.2026</t>
  </si>
  <si>
    <t>02.09.2026</t>
  </si>
  <si>
    <t>03.09.2026</t>
  </si>
  <si>
    <t>04.09.2026</t>
  </si>
  <si>
    <t>05.09.2026</t>
  </si>
  <si>
    <t>06.09.2026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</si>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</sst>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;\-"/>
  </numFmts>
  <fonts count="28">
    <font>
      <sz val="11"/>
      <color theme="1"/>
      <name val="Aptos Narrow"/>
    </font>
    <font>
      <b/>
      <sz val="11"/>
      <color theme="1"/>
      <name val="Aptos Narrow"/>
      <family val="2"/>
    </font>
    <font>
      <sz val="8"/>
      <color theme="1"/>
      <name val="Aptos Narrow"/>
      <family val="2"/>
    </font>
    <font>
      <sz val="11"/>
      <color theme="0"/>
      <name val="Aptos Narrow"/>
      <family val="2"/>
    </font>
    <font>
      <b/>
      <sz val="10"/>
      <color theme="1"/>
      <name val="Aptos Narrow"/>
      <family val="2"/>
    </font>
    <font>
      <b/>
      <sz val="10"/>
      <color theme="0"/>
      <name val="Aptos Narrow"/>
      <family val="2"/>
    </font>
    <font>
      <sz val="11"/>
      <color rgb="FF002060"/>
      <name val="Aptos Narrow"/>
      <family val="2"/>
    </font>
    <font>
      <b/>
      <sz val="10"/>
      <color rgb="FF002060"/>
      <name val="Aptos Narrow"/>
      <family val="2"/>
    </font>
    <font>
      <b/>
      <sz val="11"/>
      <color rgb="FF002060"/>
      <name val="Aptos Narrow"/>
      <family val="2"/>
    </font>
    <font>
      <sz val="11"/>
      <color theme="10"/>
      <name val="Aptos Narrow"/>
      <family val="2"/>
    </font>
    <font>
      <b/>
      <sz val="11"/>
      <color theme="1"/>
      <name val="Aptos Narrow"/>
      <family val="2"/>
    </font>
    <font>
      <b/>
      <sz val="11"/>
      <color rgb="FFFF0000"/>
      <name val="Aptos Narrow"/>
      <family val="2"/>
    </font>
    <font>
      <sz val="11"/>
      <color rgb="FF00B050"/>
      <name val="Aptos Narrow"/>
      <family val="2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sz val="11"/>
      <color rgb="FFFF00FF"/>
      <name val="Calibri"/>
      <family val="2"/>
    </font>
    <font>
      <sz val="11"/>
      <color theme="3" tint="0.49995422223578601"/>
      <name val="Calibri"/>
      <family val="2"/>
    </font>
    <font>
      <sz val="8"/>
      <color theme="3" tint="0.49995422223578601"/>
      <name val="Aptos Narrow"/>
      <family val="2"/>
    </font>
    <font>
      <sz val="8"/>
      <color rgb="FFFF00FF"/>
      <name val="Aptos Narrow"/>
      <family val="2"/>
    </font>
    <font>
      <sz val="11"/>
      <color rgb="FF00B0F0"/>
      <name val="Calibri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1"/>
      <color rgb="FF0000FF"/>
      <name val="Aptos Narrow"/>
      <family val="2"/>
    </font>
    <font>
      <b/>
      <sz val="11"/>
      <color rgb="FF0000FF"/>
      <name val="Aptos Narrow"/>
      <family val="2"/>
    </font>
    <font>
      <sz val="14"/>
      <color rgb="FF0F172A"/>
      <name val="Inter"/>
    </font>
    <font>
      <sz val="14"/>
      <color rgb="FF020817"/>
      <name val="Inter"/>
    </font>
    <font>
      <sz val="10"/>
      <color rgb="FF0F172A"/>
      <name val="Inter"/>
    </font>
    <font>
      <sz val="8"/>
      <name val="Aptos Narrow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9"/>
      </patternFill>
    </fill>
    <fill>
      <patternFill patternType="solid">
        <fgColor rgb="FFFFC00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FF"/>
      </patternFill>
    </fill>
    <fill>
      <patternFill patternType="solid">
        <fgColor rgb="FF0070C0"/>
      </patternFill>
    </fill>
    <fill>
      <patternFill patternType="solid">
        <fgColor theme="5" tint="-0.249977111117893"/>
        <bgColor indexed="65"/>
      </patternFill>
    </fill>
    <fill>
      <patternFill patternType="solid">
        <fgColor rgb="FF9933FF"/>
      </patternFill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D3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D9EAD3"/>
      </patternFill>
    </fill>
    <fill>
      <patternFill patternType="solid">
        <fgColor rgb="FFD9EAD3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D9EAD3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hair">
        <color rgb="FFD9D9D9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3" fillId="0" borderId="0"/>
  </cellStyleXfs>
  <cellXfs count="89">
    <xf numFmtId="0" fontId="0" fillId="0" borderId="0" xfId="0"/>
    <xf numFmtId="0" fontId="1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" fontId="0" fillId="0" borderId="0" xfId="0" applyNumberFormat="1"/>
    <xf numFmtId="0" fontId="0" fillId="2" borderId="0" xfId="0" applyFill="1"/>
    <xf numFmtId="0" fontId="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0" xfId="0" applyFont="1" applyFill="1"/>
    <xf numFmtId="0" fontId="3" fillId="4" borderId="0" xfId="0" applyFont="1" applyFill="1" applyAlignment="1">
      <alignment horizontal="center"/>
    </xf>
    <xf numFmtId="0" fontId="7" fillId="5" borderId="0" xfId="0" applyFont="1" applyFill="1"/>
    <xf numFmtId="0" fontId="8" fillId="5" borderId="0" xfId="0" applyFont="1" applyFill="1"/>
    <xf numFmtId="0" fontId="9" fillId="0" borderId="0" xfId="1"/>
    <xf numFmtId="0" fontId="2" fillId="6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1" fontId="0" fillId="0" borderId="0" xfId="0" applyNumberForma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4" fillId="6" borderId="1" xfId="2" applyFont="1" applyFill="1" applyBorder="1"/>
    <xf numFmtId="0" fontId="14" fillId="0" borderId="1" xfId="2" applyFont="1" applyBorder="1"/>
    <xf numFmtId="0" fontId="0" fillId="7" borderId="2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5" fillId="0" borderId="1" xfId="2" applyFont="1" applyBorder="1"/>
    <xf numFmtId="0" fontId="16" fillId="0" borderId="1" xfId="2" applyFont="1" applyBorder="1"/>
    <xf numFmtId="0" fontId="17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5" borderId="0" xfId="0" applyFont="1" applyFill="1"/>
    <xf numFmtId="0" fontId="0" fillId="8" borderId="0" xfId="0" applyFill="1"/>
    <xf numFmtId="0" fontId="4" fillId="8" borderId="0" xfId="0" applyFont="1" applyFill="1"/>
    <xf numFmtId="0" fontId="0" fillId="9" borderId="0" xfId="0" applyFill="1"/>
    <xf numFmtId="0" fontId="4" fillId="9" borderId="0" xfId="0" applyFont="1" applyFill="1"/>
    <xf numFmtId="0" fontId="0" fillId="10" borderId="0" xfId="0" applyFill="1"/>
    <xf numFmtId="0" fontId="4" fillId="10" borderId="0" xfId="0" applyFont="1" applyFill="1"/>
    <xf numFmtId="0" fontId="2" fillId="11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6" borderId="1" xfId="2" applyFont="1" applyFill="1" applyBorder="1"/>
    <xf numFmtId="0" fontId="2" fillId="12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14" borderId="0" xfId="0" applyFont="1" applyFill="1" applyAlignment="1">
      <alignment horizontal="center" vertical="center" wrapText="1"/>
    </xf>
    <xf numFmtId="0" fontId="1" fillId="15" borderId="3" xfId="0" applyFont="1" applyFill="1" applyBorder="1"/>
    <xf numFmtId="164" fontId="0" fillId="0" borderId="0" xfId="0" applyNumberFormat="1"/>
    <xf numFmtId="164" fontId="1" fillId="15" borderId="3" xfId="0" applyNumberFormat="1" applyFont="1" applyFill="1" applyBorder="1"/>
    <xf numFmtId="0" fontId="0" fillId="0" borderId="4" xfId="0" applyBorder="1"/>
    <xf numFmtId="164" fontId="0" fillId="0" borderId="4" xfId="0" applyNumberFormat="1" applyBorder="1"/>
    <xf numFmtId="0" fontId="20" fillId="14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21" fillId="16" borderId="0" xfId="0" applyFont="1" applyFill="1" applyAlignment="1">
      <alignment wrapText="1"/>
    </xf>
    <xf numFmtId="164" fontId="21" fillId="16" borderId="0" xfId="0" applyNumberFormat="1" applyFont="1" applyFill="1" applyAlignment="1">
      <alignment wrapText="1"/>
    </xf>
    <xf numFmtId="0" fontId="1" fillId="15" borderId="3" xfId="0" applyFont="1" applyFill="1" applyBorder="1" applyAlignment="1">
      <alignment wrapText="1"/>
    </xf>
    <xf numFmtId="164" fontId="1" fillId="15" borderId="3" xfId="0" applyNumberFormat="1" applyFont="1" applyFill="1" applyBorder="1" applyAlignment="1">
      <alignment wrapText="1"/>
    </xf>
    <xf numFmtId="164" fontId="22" fillId="17" borderId="0" xfId="0" applyNumberFormat="1" applyFont="1" applyFill="1" applyAlignment="1">
      <alignment wrapText="1"/>
    </xf>
    <xf numFmtId="164" fontId="23" fillId="17" borderId="3" xfId="0" applyNumberFormat="1" applyFont="1" applyFill="1" applyBorder="1" applyAlignment="1">
      <alignment wrapText="1"/>
    </xf>
    <xf numFmtId="0" fontId="20" fillId="20" borderId="0" xfId="0" applyFont="1" applyFill="1" applyAlignment="1">
      <alignment horizontal="center" vertical="center" wrapText="1"/>
    </xf>
    <xf numFmtId="164" fontId="20" fillId="20" borderId="0" xfId="0" applyNumberFormat="1" applyFont="1" applyFill="1" applyAlignment="1">
      <alignment horizontal="center" vertical="center" wrapText="1"/>
    </xf>
    <xf numFmtId="0" fontId="20" fillId="18" borderId="0" xfId="0" applyFont="1" applyFill="1" applyAlignment="1">
      <alignment horizontal="center" vertical="center" wrapText="1"/>
    </xf>
    <xf numFmtId="0" fontId="1" fillId="21" borderId="3" xfId="0" applyFont="1" applyFill="1" applyBorder="1" applyAlignment="1">
      <alignment wrapText="1"/>
    </xf>
    <xf numFmtId="164" fontId="1" fillId="21" borderId="3" xfId="0" applyNumberFormat="1" applyFont="1" applyFill="1" applyBorder="1" applyAlignment="1">
      <alignment wrapText="1"/>
    </xf>
    <xf numFmtId="0" fontId="1" fillId="22" borderId="3" xfId="0" applyFont="1" applyFill="1" applyBorder="1"/>
    <xf numFmtId="164" fontId="1" fillId="22" borderId="3" xfId="0" applyNumberFormat="1" applyFont="1" applyFill="1" applyBorder="1"/>
    <xf numFmtId="0" fontId="1" fillId="23" borderId="0" xfId="0" applyFont="1" applyFill="1"/>
    <xf numFmtId="164" fontId="1" fillId="23" borderId="0" xfId="0" applyNumberFormat="1" applyFont="1" applyFill="1"/>
    <xf numFmtId="0" fontId="20" fillId="25" borderId="0" xfId="0" applyFont="1" applyFill="1" applyAlignment="1">
      <alignment horizontal="center" vertical="center" wrapText="1"/>
    </xf>
    <xf numFmtId="0" fontId="1" fillId="22" borderId="3" xfId="0" applyFont="1" applyFill="1" applyBorder="1" applyAlignment="1">
      <alignment wrapText="1"/>
    </xf>
    <xf numFmtId="164" fontId="1" fillId="22" borderId="3" xfId="0" applyNumberFormat="1" applyFont="1" applyFill="1" applyBorder="1" applyAlignment="1">
      <alignment wrapText="1"/>
    </xf>
    <xf numFmtId="0" fontId="23" fillId="26" borderId="0" xfId="0" applyFont="1" applyFill="1"/>
    <xf numFmtId="0" fontId="20" fillId="24" borderId="0" xfId="0" applyFont="1" applyFill="1" applyAlignment="1">
      <alignment horizontal="center" wrapText="1"/>
    </xf>
    <xf numFmtId="0" fontId="1" fillId="0" borderId="0" xfId="0" applyFont="1" applyAlignment="1">
      <alignment wrapText="1"/>
    </xf>
    <xf numFmtId="0" fontId="1" fillId="23" borderId="0" xfId="0" applyFont="1" applyFill="1" applyAlignment="1">
      <alignment wrapText="1"/>
    </xf>
    <xf numFmtId="164" fontId="1" fillId="23" borderId="0" xfId="0" applyNumberFormat="1" applyFont="1" applyFill="1" applyAlignment="1">
      <alignment wrapText="1"/>
    </xf>
    <xf numFmtId="164" fontId="20" fillId="25" borderId="0" xfId="0" applyNumberFormat="1" applyFont="1" applyFill="1" applyAlignment="1">
      <alignment horizontal="center" vertical="center" wrapText="1"/>
    </xf>
    <xf numFmtId="0" fontId="1" fillId="28" borderId="0" xfId="0" applyFont="1" applyFill="1"/>
    <xf numFmtId="164" fontId="1" fillId="28" borderId="0" xfId="0" applyNumberFormat="1" applyFont="1" applyFill="1"/>
    <xf numFmtId="0" fontId="13" fillId="0" borderId="0" xfId="0" applyFont="1"/>
    <xf numFmtId="0" fontId="24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0" fontId="20" fillId="13" borderId="0" xfId="0" applyFont="1" applyFill="1" applyAlignment="1">
      <alignment horizontal="center" vertical="center"/>
    </xf>
    <xf numFmtId="0" fontId="20" fillId="24" borderId="0" xfId="0" applyFont="1" applyFill="1" applyAlignment="1">
      <alignment horizontal="center" vertical="center" wrapText="1"/>
    </xf>
    <xf numFmtId="0" fontId="21" fillId="16" borderId="0" xfId="0" applyFont="1" applyFill="1"/>
    <xf numFmtId="0" fontId="20" fillId="25" borderId="0" xfId="0" applyFont="1" applyFill="1" applyAlignment="1">
      <alignment horizontal="center" vertical="center" wrapText="1"/>
    </xf>
    <xf numFmtId="0" fontId="21" fillId="19" borderId="0" xfId="0" applyFont="1" applyFill="1" applyAlignment="1">
      <alignment wrapText="1"/>
    </xf>
    <xf numFmtId="164" fontId="21" fillId="19" borderId="0" xfId="0" applyNumberFormat="1" applyFont="1" applyFill="1" applyAlignment="1">
      <alignment wrapText="1"/>
    </xf>
    <xf numFmtId="0" fontId="1" fillId="27" borderId="0" xfId="0" applyFont="1" applyFill="1" applyAlignment="1">
      <alignment horizontal="center"/>
    </xf>
    <xf numFmtId="0" fontId="21" fillId="16" borderId="0" xfId="0" applyFont="1" applyFill="1" applyAlignment="1">
      <alignment wrapText="1"/>
    </xf>
    <xf numFmtId="164" fontId="21" fillId="16" borderId="0" xfId="0" applyNumberFormat="1" applyFont="1" applyFill="1" applyAlignment="1">
      <alignment wrapText="1"/>
    </xf>
    <xf numFmtId="0" fontId="1" fillId="23" borderId="0" xfId="0" applyFont="1" applyFill="1" applyAlignment="1">
      <alignment wrapText="1"/>
    </xf>
    <xf numFmtId="164" fontId="1" fillId="23" borderId="0" xfId="0" applyNumberFormat="1" applyFont="1" applyFill="1" applyAlignment="1">
      <alignment wrapText="1"/>
    </xf>
  </cellXfs>
  <cellStyles count="3">
    <cellStyle name="Hyperlink" xfId="1" xr:uid="{00000000-0005-0000-0000-000000000000}"/>
    <cellStyle name="Normal" xfId="0" builtinId="0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opLeftCell="A4" workbookViewId="0">
      <selection activeCell="P12" sqref="P12"/>
    </sheetView>
  </sheetViews>
  <sheetFormatPr defaultRowHeight="14.6"/>
  <cols>
    <col min="1" max="1" width="25.4609375" bestFit="1" customWidth="1"/>
    <col min="2" max="2" width="8.69140625" customWidth="1"/>
    <col min="3" max="3" width="9.23046875" bestFit="1" customWidth="1"/>
    <col min="4" max="4" width="9.3828125" customWidth="1"/>
    <col min="5" max="5" width="12.3828125" bestFit="1" customWidth="1"/>
    <col min="6" max="6" width="9.921875" bestFit="1" customWidth="1"/>
    <col min="7" max="7" width="9.61328125" customWidth="1"/>
    <col min="8" max="8" width="9.921875" bestFit="1" customWidth="1"/>
    <col min="9" max="9" width="9.61328125" customWidth="1"/>
    <col min="10" max="10" width="10.69140625" bestFit="1" customWidth="1"/>
    <col min="11" max="11" width="13" bestFit="1" customWidth="1"/>
    <col min="12" max="12" width="11.84375" bestFit="1" customWidth="1"/>
    <col min="13" max="13" width="2.15234375" customWidth="1"/>
    <col min="15" max="15" width="8.07421875" customWidth="1"/>
  </cols>
  <sheetData>
    <row r="1" spans="1:15">
      <c r="A1" s="1" t="s">
        <v>256</v>
      </c>
      <c r="B1" s="74" t="s">
        <v>261</v>
      </c>
      <c r="C1" s="74" t="s">
        <v>261</v>
      </c>
      <c r="D1" s="74" t="s">
        <v>262</v>
      </c>
      <c r="E1" s="74" t="s">
        <v>262</v>
      </c>
      <c r="F1" t="s">
        <v>257</v>
      </c>
      <c r="G1" s="74" t="s">
        <v>258</v>
      </c>
      <c r="H1" s="74" t="s">
        <v>258</v>
      </c>
      <c r="I1" s="74" t="s">
        <v>259</v>
      </c>
      <c r="J1" s="74" t="s">
        <v>260</v>
      </c>
      <c r="K1" s="74" t="s">
        <v>260</v>
      </c>
      <c r="L1" s="74" t="s">
        <v>259</v>
      </c>
    </row>
    <row r="2" spans="1:15">
      <c r="A2" s="1" t="s">
        <v>0</v>
      </c>
      <c r="B2" s="9">
        <v>40</v>
      </c>
      <c r="C2" s="29">
        <v>50</v>
      </c>
      <c r="D2" s="29">
        <v>60</v>
      </c>
      <c r="E2" s="29">
        <v>65</v>
      </c>
      <c r="F2" s="30">
        <v>40</v>
      </c>
      <c r="G2" s="30">
        <v>60</v>
      </c>
      <c r="H2" s="30">
        <v>70</v>
      </c>
      <c r="I2" s="32">
        <v>40</v>
      </c>
      <c r="J2" s="34">
        <v>100</v>
      </c>
      <c r="K2" s="34"/>
      <c r="L2" s="34">
        <v>65</v>
      </c>
    </row>
    <row r="3" spans="1:15">
      <c r="A3" s="1" t="s">
        <v>1</v>
      </c>
      <c r="B3" s="8" t="s">
        <v>224</v>
      </c>
      <c r="C3" s="10" t="s">
        <v>225</v>
      </c>
      <c r="D3" s="11" t="s">
        <v>226</v>
      </c>
      <c r="E3" s="11" t="s">
        <v>227</v>
      </c>
      <c r="F3" s="31" t="s">
        <v>228</v>
      </c>
      <c r="G3" s="31" t="s">
        <v>229</v>
      </c>
      <c r="H3" s="31" t="s">
        <v>230</v>
      </c>
      <c r="I3" s="33" t="s">
        <v>231</v>
      </c>
      <c r="J3" s="35" t="s">
        <v>232</v>
      </c>
      <c r="K3" s="35" t="s">
        <v>233</v>
      </c>
      <c r="L3" s="35" t="s">
        <v>234</v>
      </c>
      <c r="M3" s="61" t="s">
        <v>87</v>
      </c>
      <c r="N3" s="62">
        <f>SUM(B53:J53,L53)</f>
        <v>-120</v>
      </c>
      <c r="O3" s="1"/>
    </row>
    <row r="4" spans="1:15">
      <c r="A4" s="18" t="s">
        <v>7</v>
      </c>
      <c r="B4" s="7" t="b">
        <v>1</v>
      </c>
      <c r="C4" s="7" t="b">
        <v>1</v>
      </c>
      <c r="D4" s="7" t="b">
        <v>1</v>
      </c>
      <c r="E4" s="7" t="b">
        <v>1</v>
      </c>
      <c r="F4" s="7" t="b">
        <v>1</v>
      </c>
      <c r="G4" s="7" t="b">
        <v>1</v>
      </c>
      <c r="H4" s="7" t="b">
        <v>1</v>
      </c>
      <c r="I4" s="7" t="b">
        <v>1</v>
      </c>
      <c r="J4" s="7" t="b">
        <v>1</v>
      </c>
      <c r="K4" s="7"/>
      <c r="L4" s="7" t="b">
        <v>1</v>
      </c>
      <c r="N4" s="7" t="b">
        <v>0</v>
      </c>
    </row>
    <row r="5" spans="1:15">
      <c r="A5" s="19" t="s">
        <v>8</v>
      </c>
      <c r="B5" s="5" t="b">
        <v>1</v>
      </c>
      <c r="C5" s="5" t="b">
        <v>1</v>
      </c>
      <c r="D5" s="5" t="b">
        <v>1</v>
      </c>
      <c r="E5" s="5" t="b">
        <v>0</v>
      </c>
      <c r="F5" s="5" t="b">
        <v>1</v>
      </c>
      <c r="G5" s="5" t="b">
        <v>1</v>
      </c>
      <c r="H5" s="5" t="b">
        <v>1</v>
      </c>
      <c r="I5" s="5" t="b">
        <v>0</v>
      </c>
      <c r="J5" s="5" t="b">
        <v>1</v>
      </c>
      <c r="K5" s="5"/>
      <c r="L5" s="5" t="b">
        <v>0</v>
      </c>
      <c r="N5" s="5" t="b">
        <v>0</v>
      </c>
    </row>
    <row r="6" spans="1:15">
      <c r="A6" s="19" t="s">
        <v>9</v>
      </c>
      <c r="B6" s="5" t="b">
        <v>1</v>
      </c>
      <c r="C6" s="5" t="b">
        <v>1</v>
      </c>
      <c r="D6" s="5" t="b">
        <v>1</v>
      </c>
      <c r="E6" s="5" t="b">
        <v>0</v>
      </c>
      <c r="F6" s="5" t="b">
        <v>1</v>
      </c>
      <c r="G6" s="5" t="b">
        <v>1</v>
      </c>
      <c r="H6" s="5" t="b">
        <v>1</v>
      </c>
      <c r="I6" s="5" t="b">
        <v>0</v>
      </c>
      <c r="J6" s="5" t="b">
        <v>1</v>
      </c>
      <c r="K6" s="5"/>
      <c r="L6" s="5" t="b">
        <v>0</v>
      </c>
      <c r="N6" s="5" t="b">
        <v>0</v>
      </c>
    </row>
    <row r="7" spans="1:15" s="4" customFormat="1">
      <c r="A7" s="18" t="s">
        <v>10</v>
      </c>
      <c r="B7" s="13" t="b">
        <v>1</v>
      </c>
      <c r="C7" s="13" t="b">
        <v>0</v>
      </c>
      <c r="D7" s="13" t="b">
        <v>1</v>
      </c>
      <c r="E7" s="13" t="b">
        <v>0</v>
      </c>
      <c r="F7" s="13" t="b">
        <v>1</v>
      </c>
      <c r="G7" s="13" t="b">
        <v>1</v>
      </c>
      <c r="H7" s="13" t="b">
        <v>0</v>
      </c>
      <c r="I7" s="13" t="b">
        <v>1</v>
      </c>
      <c r="J7" s="13" t="b">
        <v>0</v>
      </c>
      <c r="K7" s="13"/>
      <c r="L7" s="13" t="b">
        <v>0</v>
      </c>
      <c r="N7" s="13" t="b">
        <v>0</v>
      </c>
    </row>
    <row r="8" spans="1:15">
      <c r="A8" s="18" t="s">
        <v>11</v>
      </c>
      <c r="B8" s="13" t="b">
        <v>1</v>
      </c>
      <c r="C8" s="13" t="b">
        <v>0</v>
      </c>
      <c r="D8" s="13" t="b">
        <v>1</v>
      </c>
      <c r="E8" s="13" t="b">
        <v>0</v>
      </c>
      <c r="F8" s="13" t="b">
        <v>1</v>
      </c>
      <c r="G8" s="13" t="b">
        <v>1</v>
      </c>
      <c r="H8" s="13" t="b">
        <v>0</v>
      </c>
      <c r="I8" s="13" t="b">
        <v>1</v>
      </c>
      <c r="J8" s="13" t="b">
        <v>0</v>
      </c>
      <c r="K8" s="13"/>
      <c r="L8" s="13" t="b">
        <v>0</v>
      </c>
      <c r="N8" s="13" t="b">
        <v>0</v>
      </c>
      <c r="O8" t="s">
        <v>12</v>
      </c>
    </row>
    <row r="9" spans="1:15">
      <c r="A9" s="18" t="s">
        <v>13</v>
      </c>
      <c r="B9" s="13" t="b">
        <v>1</v>
      </c>
      <c r="C9" s="13" t="b">
        <v>0</v>
      </c>
      <c r="D9" s="13" t="b">
        <v>1</v>
      </c>
      <c r="E9" s="13"/>
      <c r="F9" s="13" t="b">
        <v>1</v>
      </c>
      <c r="G9" s="13" t="b">
        <v>1</v>
      </c>
      <c r="H9" s="13" t="b">
        <v>0</v>
      </c>
      <c r="I9" s="13" t="b">
        <v>1</v>
      </c>
      <c r="J9" s="13" t="b">
        <v>0</v>
      </c>
      <c r="K9" s="13"/>
      <c r="L9" s="13" t="b">
        <v>0</v>
      </c>
      <c r="N9" s="13" t="b">
        <v>0</v>
      </c>
    </row>
    <row r="10" spans="1:15">
      <c r="A10" s="18" t="s">
        <v>14</v>
      </c>
      <c r="B10" s="13"/>
      <c r="C10" s="13" t="b">
        <v>0</v>
      </c>
      <c r="D10" s="13" t="b">
        <v>0</v>
      </c>
      <c r="E10" s="13" t="b">
        <v>0</v>
      </c>
      <c r="F10" s="13" t="b">
        <v>1</v>
      </c>
      <c r="G10" s="13" t="b">
        <v>1</v>
      </c>
      <c r="H10" s="13" t="b">
        <v>0</v>
      </c>
      <c r="I10" s="13" t="b">
        <v>1</v>
      </c>
      <c r="J10" s="13" t="b">
        <v>0</v>
      </c>
      <c r="K10" s="13"/>
      <c r="L10" s="13" t="b">
        <v>0</v>
      </c>
      <c r="N10" s="13" t="b">
        <v>0</v>
      </c>
    </row>
    <row r="11" spans="1:15">
      <c r="A11" s="19" t="s">
        <v>15</v>
      </c>
      <c r="B11" s="5" t="b">
        <v>1</v>
      </c>
      <c r="C11" s="5" t="b">
        <v>0</v>
      </c>
      <c r="D11" s="5" t="b">
        <v>1</v>
      </c>
      <c r="E11" s="5" t="b">
        <v>0</v>
      </c>
      <c r="F11" s="5" t="b">
        <v>1</v>
      </c>
      <c r="G11" s="5" t="b">
        <v>1</v>
      </c>
      <c r="H11" s="5" t="b">
        <v>0</v>
      </c>
      <c r="I11" s="5" t="b">
        <v>1</v>
      </c>
      <c r="J11" s="5" t="b">
        <v>0</v>
      </c>
      <c r="K11" s="5"/>
      <c r="L11" s="5" t="b">
        <v>0</v>
      </c>
      <c r="N11" s="5" t="b">
        <v>0</v>
      </c>
    </row>
    <row r="12" spans="1:15">
      <c r="A12" s="18" t="s">
        <v>16</v>
      </c>
      <c r="B12" s="13" t="b">
        <v>1</v>
      </c>
      <c r="C12" s="13" t="b">
        <v>0</v>
      </c>
      <c r="D12" s="13" t="b">
        <v>1</v>
      </c>
      <c r="E12" s="13" t="b">
        <v>0</v>
      </c>
      <c r="F12" s="13" t="b">
        <v>1</v>
      </c>
      <c r="G12" s="13" t="b">
        <v>1</v>
      </c>
      <c r="H12" s="13" t="b">
        <v>0</v>
      </c>
      <c r="I12" s="13" t="b">
        <v>1</v>
      </c>
      <c r="J12" s="13" t="b">
        <v>0</v>
      </c>
      <c r="K12" s="13"/>
      <c r="L12" s="13" t="b">
        <v>0</v>
      </c>
      <c r="N12" s="13" t="b">
        <v>0</v>
      </c>
    </row>
    <row r="13" spans="1:15">
      <c r="A13" s="19" t="s">
        <v>17</v>
      </c>
      <c r="B13" s="5" t="b">
        <v>1</v>
      </c>
      <c r="C13" s="5" t="b">
        <v>0</v>
      </c>
      <c r="D13" s="5" t="b">
        <v>1</v>
      </c>
      <c r="E13" s="5" t="b">
        <v>0</v>
      </c>
      <c r="F13" s="5" t="b">
        <v>0</v>
      </c>
      <c r="G13" s="5" t="b">
        <v>1</v>
      </c>
      <c r="H13" s="5" t="b">
        <v>0</v>
      </c>
      <c r="I13" s="5" t="b">
        <v>1</v>
      </c>
      <c r="J13" s="5" t="b">
        <v>0</v>
      </c>
      <c r="K13" s="5"/>
      <c r="L13" s="5" t="b">
        <v>0</v>
      </c>
      <c r="N13" s="5" t="b">
        <v>0</v>
      </c>
    </row>
    <row r="14" spans="1:15">
      <c r="A14" s="19" t="s">
        <v>18</v>
      </c>
      <c r="B14" s="5" t="b">
        <v>1</v>
      </c>
      <c r="C14" s="5" t="b">
        <v>0</v>
      </c>
      <c r="D14" s="5" t="b">
        <v>1</v>
      </c>
      <c r="E14" s="5" t="b">
        <v>0</v>
      </c>
      <c r="F14" s="5" t="b">
        <v>0</v>
      </c>
      <c r="G14" s="5" t="b">
        <v>1</v>
      </c>
      <c r="H14" s="5" t="b">
        <v>0</v>
      </c>
      <c r="I14" s="5" t="b">
        <v>1</v>
      </c>
      <c r="J14" s="5" t="b">
        <v>0</v>
      </c>
      <c r="K14" s="5"/>
      <c r="L14" s="5" t="b">
        <v>0</v>
      </c>
      <c r="N14" s="5" t="b">
        <v>0</v>
      </c>
    </row>
    <row r="15" spans="1:15">
      <c r="A15" s="25" t="s">
        <v>19</v>
      </c>
      <c r="B15" s="28" t="b">
        <v>0</v>
      </c>
      <c r="C15" s="28" t="b">
        <v>0</v>
      </c>
      <c r="D15" s="28" t="b">
        <v>0</v>
      </c>
      <c r="E15" s="28" t="b">
        <v>0</v>
      </c>
      <c r="F15" s="28" t="b">
        <v>0</v>
      </c>
      <c r="G15" s="28" t="b">
        <v>0</v>
      </c>
      <c r="H15" s="28" t="b">
        <v>0</v>
      </c>
      <c r="I15" s="28" t="b">
        <v>0</v>
      </c>
      <c r="J15" s="28" t="b">
        <v>0</v>
      </c>
      <c r="K15" s="28"/>
      <c r="L15" s="28" t="b">
        <v>0</v>
      </c>
      <c r="N15" s="5" t="b">
        <v>0</v>
      </c>
    </row>
    <row r="16" spans="1:15">
      <c r="A16" s="18" t="s">
        <v>20</v>
      </c>
      <c r="B16" s="13" t="b">
        <v>1</v>
      </c>
      <c r="C16" s="13" t="b">
        <v>0</v>
      </c>
      <c r="D16" s="13" t="b">
        <v>0</v>
      </c>
      <c r="E16" s="13" t="b">
        <v>0</v>
      </c>
      <c r="F16" s="13" t="b">
        <v>1</v>
      </c>
      <c r="G16" s="13" t="b">
        <v>0</v>
      </c>
      <c r="H16" s="13" t="b">
        <v>0</v>
      </c>
      <c r="I16" s="13" t="b">
        <v>0</v>
      </c>
      <c r="J16" s="13" t="b">
        <v>0</v>
      </c>
      <c r="K16" s="13"/>
      <c r="L16" s="13" t="b">
        <v>0</v>
      </c>
      <c r="N16" s="7" t="b">
        <v>0</v>
      </c>
    </row>
    <row r="17" spans="1:15">
      <c r="A17" s="18" t="s">
        <v>21</v>
      </c>
      <c r="B17" s="13" t="b">
        <v>1</v>
      </c>
      <c r="C17" s="13" t="b">
        <v>0</v>
      </c>
      <c r="D17" s="13" t="b">
        <v>0</v>
      </c>
      <c r="E17" s="13" t="b">
        <v>0</v>
      </c>
      <c r="F17" s="13" t="b">
        <v>1</v>
      </c>
      <c r="G17" s="13" t="b">
        <v>0</v>
      </c>
      <c r="H17" s="13" t="b">
        <v>0</v>
      </c>
      <c r="I17" s="13" t="b">
        <v>0</v>
      </c>
      <c r="J17" s="13" t="b">
        <v>0</v>
      </c>
      <c r="K17" s="13"/>
      <c r="L17" s="13" t="b">
        <v>0</v>
      </c>
      <c r="N17" s="7" t="b">
        <v>0</v>
      </c>
    </row>
    <row r="18" spans="1:15" s="4" customFormat="1">
      <c r="A18" s="18" t="s">
        <v>22</v>
      </c>
      <c r="B18" s="13" t="b">
        <v>0</v>
      </c>
      <c r="C18" s="13" t="b">
        <v>0</v>
      </c>
      <c r="D18" s="13" t="b">
        <v>0</v>
      </c>
      <c r="E18" s="13" t="b">
        <v>0</v>
      </c>
      <c r="F18" s="13" t="b">
        <v>1</v>
      </c>
      <c r="G18" s="13" t="b">
        <v>0</v>
      </c>
      <c r="H18" s="13" t="b">
        <v>0</v>
      </c>
      <c r="I18" s="13" t="b">
        <v>0</v>
      </c>
      <c r="J18" s="13" t="b">
        <v>0</v>
      </c>
      <c r="K18" s="13"/>
      <c r="L18" s="13" t="b">
        <v>0</v>
      </c>
      <c r="M18"/>
      <c r="N18" s="7" t="b">
        <v>0</v>
      </c>
    </row>
    <row r="19" spans="1:15">
      <c r="A19" s="19" t="s">
        <v>23</v>
      </c>
      <c r="B19" s="5" t="b">
        <v>1</v>
      </c>
      <c r="C19" s="5" t="b">
        <v>1</v>
      </c>
      <c r="D19" s="5" t="b">
        <v>1</v>
      </c>
      <c r="E19" s="5" t="b">
        <v>0</v>
      </c>
      <c r="F19" s="5" t="b">
        <v>0</v>
      </c>
      <c r="G19" s="5" t="b">
        <v>0</v>
      </c>
      <c r="H19" s="5" t="b">
        <v>0</v>
      </c>
      <c r="I19" s="5" t="b">
        <v>1</v>
      </c>
      <c r="J19" s="5" t="b">
        <v>0</v>
      </c>
      <c r="K19" s="5"/>
      <c r="L19" s="5" t="b">
        <v>0</v>
      </c>
      <c r="N19" s="5" t="b">
        <v>0</v>
      </c>
    </row>
    <row r="20" spans="1:15">
      <c r="A20" s="19" t="s">
        <v>24</v>
      </c>
      <c r="B20" s="5" t="b">
        <v>1</v>
      </c>
      <c r="C20" s="5" t="b">
        <v>1</v>
      </c>
      <c r="D20" s="5" t="b">
        <v>1</v>
      </c>
      <c r="E20" s="5" t="b">
        <v>0</v>
      </c>
      <c r="F20" s="5" t="b">
        <v>0</v>
      </c>
      <c r="G20" s="5" t="b">
        <v>0</v>
      </c>
      <c r="H20" s="5" t="b">
        <v>0</v>
      </c>
      <c r="I20" s="5" t="b">
        <v>1</v>
      </c>
      <c r="J20" s="5" t="b">
        <v>0</v>
      </c>
      <c r="K20" s="5"/>
      <c r="L20" s="5" t="b">
        <v>0</v>
      </c>
      <c r="N20" s="5" t="b">
        <v>0</v>
      </c>
    </row>
    <row r="21" spans="1:15">
      <c r="A21" s="25" t="s">
        <v>25</v>
      </c>
      <c r="B21" s="28" t="b">
        <v>0</v>
      </c>
      <c r="C21" s="28" t="b">
        <v>0</v>
      </c>
      <c r="D21" s="28" t="b">
        <v>0</v>
      </c>
      <c r="E21" s="28" t="b">
        <v>0</v>
      </c>
      <c r="F21" s="28" t="b">
        <v>0</v>
      </c>
      <c r="G21" s="28" t="b">
        <v>0</v>
      </c>
      <c r="H21" s="28" t="b">
        <v>0</v>
      </c>
      <c r="I21" s="28" t="b">
        <v>0</v>
      </c>
      <c r="J21" s="28" t="b">
        <v>0</v>
      </c>
      <c r="K21" s="28"/>
      <c r="L21" s="28" t="b">
        <v>0</v>
      </c>
      <c r="N21" s="5" t="b">
        <v>0</v>
      </c>
    </row>
    <row r="22" spans="1:15">
      <c r="A22" s="18" t="s">
        <v>26</v>
      </c>
      <c r="B22" s="13" t="b">
        <v>1</v>
      </c>
      <c r="C22" s="13" t="b">
        <v>1</v>
      </c>
      <c r="D22" s="13" t="b">
        <v>0</v>
      </c>
      <c r="E22" s="13" t="b">
        <v>0</v>
      </c>
      <c r="F22" s="13" t="b">
        <v>1</v>
      </c>
      <c r="G22" s="13" t="b">
        <v>1</v>
      </c>
      <c r="H22" s="13" t="b">
        <v>0</v>
      </c>
      <c r="I22" s="13" t="b">
        <v>0</v>
      </c>
      <c r="J22" s="13" t="b">
        <v>1</v>
      </c>
      <c r="K22" s="13"/>
      <c r="L22" s="13" t="b">
        <v>0</v>
      </c>
      <c r="N22" s="7" t="b">
        <v>0</v>
      </c>
    </row>
    <row r="23" spans="1:15">
      <c r="A23" s="22" t="s">
        <v>27</v>
      </c>
      <c r="B23" s="13" t="b">
        <v>1</v>
      </c>
      <c r="C23" s="13" t="b">
        <v>1</v>
      </c>
      <c r="D23" s="13" t="b">
        <v>0</v>
      </c>
      <c r="E23" s="13" t="b">
        <v>0</v>
      </c>
      <c r="F23" s="13" t="b">
        <v>1</v>
      </c>
      <c r="G23" s="13" t="b">
        <v>1</v>
      </c>
      <c r="H23" s="13" t="b">
        <v>0</v>
      </c>
      <c r="I23" s="13" t="b">
        <v>0</v>
      </c>
      <c r="J23" s="13" t="b">
        <v>1</v>
      </c>
      <c r="K23" s="13"/>
      <c r="L23" s="13" t="b">
        <v>0</v>
      </c>
      <c r="N23" s="7" t="b">
        <v>0</v>
      </c>
    </row>
    <row r="24" spans="1:15">
      <c r="A24" s="23" t="s">
        <v>28</v>
      </c>
      <c r="B24" s="13" t="b">
        <v>1</v>
      </c>
      <c r="C24" s="13" t="b">
        <v>1</v>
      </c>
      <c r="D24" s="13" t="b">
        <v>0</v>
      </c>
      <c r="E24" s="13" t="b">
        <v>0</v>
      </c>
      <c r="F24" s="13" t="b">
        <v>1</v>
      </c>
      <c r="G24" s="13" t="b">
        <v>1</v>
      </c>
      <c r="H24" s="13" t="b">
        <v>0</v>
      </c>
      <c r="I24" s="13" t="b">
        <v>0</v>
      </c>
      <c r="J24" s="13" t="b">
        <v>1</v>
      </c>
      <c r="K24" s="13"/>
      <c r="L24" s="13" t="b">
        <v>0</v>
      </c>
      <c r="N24" s="7" t="b">
        <v>0</v>
      </c>
    </row>
    <row r="25" spans="1:15">
      <c r="A25" s="19" t="s">
        <v>29</v>
      </c>
      <c r="B25" s="5" t="b">
        <v>1</v>
      </c>
      <c r="C25" s="5" t="b">
        <v>1</v>
      </c>
      <c r="D25" s="5" t="b">
        <v>1</v>
      </c>
      <c r="E25" s="5" t="b">
        <v>1</v>
      </c>
      <c r="F25" s="5" t="b">
        <v>1</v>
      </c>
      <c r="G25" s="5" t="b">
        <v>1</v>
      </c>
      <c r="H25" s="5" t="b">
        <v>0</v>
      </c>
      <c r="I25" s="5" t="b">
        <v>1</v>
      </c>
      <c r="J25" s="5" t="b">
        <v>0</v>
      </c>
      <c r="K25" s="5"/>
      <c r="L25" s="5" t="b">
        <v>0</v>
      </c>
      <c r="N25" s="5" t="b">
        <v>0</v>
      </c>
    </row>
    <row r="26" spans="1:15">
      <c r="A26" s="19" t="s">
        <v>30</v>
      </c>
      <c r="B26" s="5" t="b">
        <v>1</v>
      </c>
      <c r="C26" s="5" t="b">
        <v>1</v>
      </c>
      <c r="D26" s="5" t="b">
        <v>1</v>
      </c>
      <c r="E26" s="5" t="b">
        <v>1</v>
      </c>
      <c r="F26" s="5" t="b">
        <v>1</v>
      </c>
      <c r="G26" s="5" t="b">
        <v>1</v>
      </c>
      <c r="H26" s="5" t="b">
        <v>0</v>
      </c>
      <c r="I26" s="5" t="b">
        <v>1</v>
      </c>
      <c r="J26" s="5" t="b">
        <v>0</v>
      </c>
      <c r="K26" s="5"/>
      <c r="L26" s="5" t="b">
        <v>0</v>
      </c>
      <c r="N26" s="5" t="b">
        <v>0</v>
      </c>
    </row>
    <row r="27" spans="1:15">
      <c r="A27" s="18" t="s">
        <v>31</v>
      </c>
      <c r="B27" s="7" t="b">
        <v>1</v>
      </c>
      <c r="C27" s="7" t="b">
        <v>1</v>
      </c>
      <c r="D27" s="7" t="b">
        <v>0</v>
      </c>
      <c r="E27" s="7" t="b">
        <v>0</v>
      </c>
      <c r="F27" s="7" t="b">
        <v>0</v>
      </c>
      <c r="G27" s="7" t="b">
        <v>1</v>
      </c>
      <c r="H27" s="7" t="b">
        <v>0</v>
      </c>
      <c r="I27" s="7" t="b">
        <v>0</v>
      </c>
      <c r="J27" s="7" t="b">
        <v>1</v>
      </c>
      <c r="K27" s="7"/>
      <c r="L27" s="7" t="b">
        <v>0</v>
      </c>
      <c r="N27" s="7" t="b">
        <v>0</v>
      </c>
    </row>
    <row r="28" spans="1:15">
      <c r="A28" s="18" t="s">
        <v>32</v>
      </c>
      <c r="B28" s="7" t="b">
        <v>1</v>
      </c>
      <c r="C28" s="7" t="b">
        <v>1</v>
      </c>
      <c r="D28" s="7" t="b">
        <v>0</v>
      </c>
      <c r="E28" s="7" t="b">
        <v>0</v>
      </c>
      <c r="F28" s="7" t="b">
        <v>0</v>
      </c>
      <c r="G28" s="7" t="b">
        <v>1</v>
      </c>
      <c r="H28" s="7" t="b">
        <v>0</v>
      </c>
      <c r="I28" s="7" t="b">
        <v>0</v>
      </c>
      <c r="J28" s="7" t="b">
        <v>1</v>
      </c>
      <c r="K28" s="7"/>
      <c r="L28" s="7" t="b">
        <v>0</v>
      </c>
      <c r="N28" s="7" t="b">
        <v>0</v>
      </c>
    </row>
    <row r="29" spans="1:15">
      <c r="A29" s="22" t="s">
        <v>33</v>
      </c>
      <c r="B29" s="7" t="b">
        <v>0</v>
      </c>
      <c r="C29" s="36" t="b">
        <v>1</v>
      </c>
      <c r="D29" s="7" t="b">
        <v>0</v>
      </c>
      <c r="E29" s="7" t="b">
        <v>0</v>
      </c>
      <c r="F29" s="7" t="b">
        <v>0</v>
      </c>
      <c r="G29" s="7" t="b">
        <v>0</v>
      </c>
      <c r="H29" s="7" t="b">
        <v>0</v>
      </c>
      <c r="I29" s="7" t="b">
        <v>0</v>
      </c>
      <c r="J29" s="7" t="b">
        <v>1</v>
      </c>
      <c r="K29" s="7"/>
      <c r="L29" s="7" t="b">
        <v>0</v>
      </c>
      <c r="N29" s="7" t="b">
        <v>0</v>
      </c>
      <c r="O29">
        <f>SUM(O4:O23)</f>
        <v>0</v>
      </c>
    </row>
    <row r="30" spans="1:15">
      <c r="A30" s="23" t="s">
        <v>34</v>
      </c>
      <c r="B30" s="7" t="b">
        <v>0</v>
      </c>
      <c r="C30" s="36" t="b">
        <v>1</v>
      </c>
      <c r="D30" s="7" t="b">
        <v>0</v>
      </c>
      <c r="E30" s="7" t="b">
        <v>0</v>
      </c>
      <c r="F30" s="7" t="b">
        <v>0</v>
      </c>
      <c r="G30" s="7" t="b">
        <v>0</v>
      </c>
      <c r="H30" s="7" t="b">
        <v>0</v>
      </c>
      <c r="I30" s="7" t="b">
        <v>0</v>
      </c>
      <c r="J30" s="7" t="b">
        <v>0</v>
      </c>
      <c r="K30" s="7"/>
      <c r="L30" s="7" t="b">
        <v>0</v>
      </c>
      <c r="N30" s="7" t="b">
        <v>0</v>
      </c>
    </row>
    <row r="31" spans="1:15">
      <c r="A31" s="20" t="s">
        <v>35</v>
      </c>
      <c r="B31" s="6" t="b">
        <v>1</v>
      </c>
      <c r="C31" s="6" t="b">
        <v>1</v>
      </c>
      <c r="D31" s="6" t="b">
        <v>0</v>
      </c>
      <c r="E31" s="6" t="b">
        <v>0</v>
      </c>
      <c r="F31" s="6" t="b">
        <v>1</v>
      </c>
      <c r="G31" s="6" t="b">
        <v>0</v>
      </c>
      <c r="H31" s="6" t="b">
        <v>0</v>
      </c>
      <c r="I31" s="6" t="b">
        <v>0</v>
      </c>
      <c r="J31" s="6" t="b">
        <v>1</v>
      </c>
      <c r="K31" s="6"/>
      <c r="L31" s="6" t="b">
        <v>0</v>
      </c>
      <c r="N31" s="6" t="b">
        <v>0</v>
      </c>
    </row>
    <row r="32" spans="1:15">
      <c r="A32" s="21" t="s">
        <v>36</v>
      </c>
      <c r="B32" s="6" t="b">
        <v>1</v>
      </c>
      <c r="C32" s="6" t="b">
        <v>1</v>
      </c>
      <c r="D32" s="6" t="b">
        <v>0</v>
      </c>
      <c r="E32" s="6" t="b">
        <v>0</v>
      </c>
      <c r="F32" s="6" t="b">
        <v>1</v>
      </c>
      <c r="G32" s="6" t="b">
        <v>0</v>
      </c>
      <c r="H32" s="6" t="b">
        <v>0</v>
      </c>
      <c r="I32" s="6" t="b">
        <v>0</v>
      </c>
      <c r="J32" s="6" t="b">
        <v>1</v>
      </c>
      <c r="K32" s="6"/>
      <c r="L32" s="6" t="b">
        <v>0</v>
      </c>
      <c r="N32" s="6" t="b">
        <v>0</v>
      </c>
    </row>
    <row r="33" spans="1:15">
      <c r="A33" s="19" t="s">
        <v>37</v>
      </c>
      <c r="B33" s="5" t="b">
        <v>0</v>
      </c>
      <c r="C33" s="5" t="b">
        <v>1</v>
      </c>
      <c r="D33" s="5" t="b">
        <v>0</v>
      </c>
      <c r="E33" s="5" t="b">
        <v>0</v>
      </c>
      <c r="F33" s="5" t="b">
        <v>0</v>
      </c>
      <c r="G33" s="5" t="b">
        <v>0</v>
      </c>
      <c r="H33" s="5" t="b">
        <v>0</v>
      </c>
      <c r="I33" s="5" t="b">
        <v>0</v>
      </c>
      <c r="J33" s="5" t="b">
        <v>0</v>
      </c>
      <c r="K33" s="5"/>
      <c r="L33" s="5" t="b">
        <v>0</v>
      </c>
      <c r="N33" s="6" t="b">
        <v>0</v>
      </c>
    </row>
    <row r="34" spans="1:15">
      <c r="A34" s="26" t="s">
        <v>38</v>
      </c>
      <c r="B34" s="27" t="b">
        <v>0</v>
      </c>
      <c r="C34" s="27" t="b">
        <v>1</v>
      </c>
      <c r="D34" s="27" t="b">
        <v>0</v>
      </c>
      <c r="E34" s="27" t="b">
        <v>0</v>
      </c>
      <c r="F34" s="27" t="b">
        <v>0</v>
      </c>
      <c r="G34" s="27" t="b">
        <v>0</v>
      </c>
      <c r="H34" s="27" t="b">
        <v>0</v>
      </c>
      <c r="I34" s="27" t="b">
        <v>0</v>
      </c>
      <c r="J34" s="27" t="b">
        <v>0</v>
      </c>
      <c r="K34" s="27"/>
      <c r="L34" s="27" t="b">
        <v>0</v>
      </c>
      <c r="N34" s="6" t="b">
        <v>0</v>
      </c>
      <c r="O34" s="3">
        <v>46276</v>
      </c>
    </row>
    <row r="35" spans="1:15">
      <c r="A35" s="18" t="s">
        <v>39</v>
      </c>
      <c r="B35" s="7" t="b">
        <v>1</v>
      </c>
      <c r="C35" s="7" t="b">
        <v>1</v>
      </c>
      <c r="D35" s="7" t="b">
        <v>0</v>
      </c>
      <c r="E35" s="7" t="b">
        <v>1</v>
      </c>
      <c r="F35" s="7" t="b">
        <v>1</v>
      </c>
      <c r="G35" s="7" t="b">
        <v>1</v>
      </c>
      <c r="H35" s="7" t="b">
        <v>0</v>
      </c>
      <c r="I35" s="7" t="b">
        <v>1</v>
      </c>
      <c r="J35" s="7" t="b">
        <v>1</v>
      </c>
      <c r="K35" s="7"/>
      <c r="L35" s="7" t="b">
        <v>0</v>
      </c>
      <c r="N35" s="7" t="b">
        <v>0</v>
      </c>
    </row>
    <row r="36" spans="1:15">
      <c r="A36" s="18" t="s">
        <v>40</v>
      </c>
      <c r="B36" s="7" t="b">
        <v>1</v>
      </c>
      <c r="C36" s="7" t="b">
        <v>1</v>
      </c>
      <c r="D36" s="7" t="b">
        <v>0</v>
      </c>
      <c r="E36" s="7" t="b">
        <v>1</v>
      </c>
      <c r="F36" s="7" t="b">
        <v>1</v>
      </c>
      <c r="G36" s="7" t="b">
        <v>1</v>
      </c>
      <c r="H36" s="7" t="b">
        <v>0</v>
      </c>
      <c r="I36" s="7" t="b">
        <v>1</v>
      </c>
      <c r="J36" s="7" t="b">
        <v>1</v>
      </c>
      <c r="K36" s="7"/>
      <c r="L36" s="7" t="b">
        <v>0</v>
      </c>
      <c r="N36" s="7" t="b">
        <v>0</v>
      </c>
    </row>
    <row r="37" spans="1:15">
      <c r="A37" s="18" t="s">
        <v>41</v>
      </c>
      <c r="B37" s="7" t="b">
        <v>1</v>
      </c>
      <c r="C37" s="7" t="b">
        <v>1</v>
      </c>
      <c r="D37" s="7" t="b">
        <v>0</v>
      </c>
      <c r="E37" s="7" t="b">
        <v>1</v>
      </c>
      <c r="F37" s="7" t="b">
        <v>1</v>
      </c>
      <c r="G37" s="7" t="b">
        <v>1</v>
      </c>
      <c r="H37" s="7" t="b">
        <v>0</v>
      </c>
      <c r="I37" s="7" t="b">
        <v>1</v>
      </c>
      <c r="J37" s="7" t="b">
        <v>1</v>
      </c>
      <c r="K37" s="7"/>
      <c r="L37" s="7" t="b">
        <v>0</v>
      </c>
      <c r="N37" s="7" t="b">
        <v>0</v>
      </c>
    </row>
    <row r="38" spans="1:15">
      <c r="A38" s="37" t="s">
        <v>42</v>
      </c>
      <c r="B38" s="7" t="b">
        <v>0</v>
      </c>
      <c r="C38" s="7" t="b">
        <v>1</v>
      </c>
      <c r="D38" s="7" t="b">
        <v>0</v>
      </c>
      <c r="E38" s="7" t="b">
        <v>1</v>
      </c>
      <c r="F38" s="38" t="b">
        <v>1</v>
      </c>
      <c r="G38" s="38" t="b">
        <v>0</v>
      </c>
      <c r="H38" s="7" t="b">
        <v>0</v>
      </c>
      <c r="I38" s="7" t="b">
        <v>0</v>
      </c>
      <c r="J38" s="38" t="b">
        <v>1</v>
      </c>
      <c r="K38" s="7"/>
      <c r="L38" s="7" t="b">
        <v>0</v>
      </c>
      <c r="N38" s="7" t="b">
        <v>0</v>
      </c>
    </row>
    <row r="39" spans="1:15">
      <c r="A39" s="19" t="s">
        <v>43</v>
      </c>
      <c r="B39" s="5" t="b">
        <v>1</v>
      </c>
      <c r="C39" s="5" t="b">
        <v>1</v>
      </c>
      <c r="D39" s="5" t="b">
        <v>1</v>
      </c>
      <c r="E39" s="5" t="b">
        <v>1</v>
      </c>
      <c r="F39" s="5" t="b">
        <v>1</v>
      </c>
      <c r="G39" s="5" t="b">
        <v>1</v>
      </c>
      <c r="H39" s="5" t="b">
        <v>0</v>
      </c>
      <c r="I39" s="5" t="b">
        <v>1</v>
      </c>
      <c r="J39" s="5" t="b">
        <v>1</v>
      </c>
      <c r="K39" s="5"/>
      <c r="L39" s="5" t="b">
        <v>0</v>
      </c>
      <c r="N39" s="5" t="b">
        <v>0</v>
      </c>
    </row>
    <row r="40" spans="1:15">
      <c r="A40" s="19" t="s">
        <v>44</v>
      </c>
      <c r="B40" s="5" t="b">
        <v>1</v>
      </c>
      <c r="C40" s="5" t="b">
        <v>1</v>
      </c>
      <c r="D40" s="5" t="b">
        <v>0</v>
      </c>
      <c r="E40" s="5" t="b">
        <v>1</v>
      </c>
      <c r="F40" s="5" t="b">
        <v>0</v>
      </c>
      <c r="G40" s="5" t="b">
        <v>1</v>
      </c>
      <c r="H40" s="5" t="b">
        <v>0</v>
      </c>
      <c r="I40" s="5" t="b">
        <v>1</v>
      </c>
      <c r="J40" s="5" t="b">
        <v>1</v>
      </c>
      <c r="K40" s="5"/>
      <c r="L40" s="5" t="b">
        <v>0</v>
      </c>
      <c r="N40" s="5" t="b">
        <v>0</v>
      </c>
    </row>
    <row r="41" spans="1:15">
      <c r="A41" s="18" t="s">
        <v>45</v>
      </c>
      <c r="B41" s="7" t="b">
        <v>1</v>
      </c>
      <c r="C41" s="7" t="b">
        <v>1</v>
      </c>
      <c r="D41" s="7" t="b">
        <v>1</v>
      </c>
      <c r="E41" s="7" t="b">
        <v>1</v>
      </c>
      <c r="F41" s="7" t="b">
        <v>0</v>
      </c>
      <c r="G41" s="7" t="b">
        <v>1</v>
      </c>
      <c r="H41" s="7" t="b">
        <v>0</v>
      </c>
      <c r="I41" s="7" t="b">
        <v>1</v>
      </c>
      <c r="J41" s="7" t="b">
        <v>1</v>
      </c>
      <c r="K41" s="7"/>
      <c r="L41" s="7" t="b">
        <v>0</v>
      </c>
      <c r="N41" s="7" t="b">
        <v>0</v>
      </c>
    </row>
    <row r="42" spans="1:15">
      <c r="A42" s="18" t="s">
        <v>46</v>
      </c>
      <c r="B42" s="7" t="b">
        <v>1</v>
      </c>
      <c r="C42" s="7" t="b">
        <v>0</v>
      </c>
      <c r="D42" s="7" t="b">
        <v>1</v>
      </c>
      <c r="E42" s="7" t="b">
        <v>1</v>
      </c>
      <c r="F42" s="7" t="b">
        <v>0</v>
      </c>
      <c r="G42" s="7" t="b">
        <v>1</v>
      </c>
      <c r="H42" s="7" t="b">
        <v>0</v>
      </c>
      <c r="I42" s="7" t="b">
        <v>1</v>
      </c>
      <c r="J42" s="7" t="b">
        <v>1</v>
      </c>
      <c r="K42" s="7"/>
      <c r="L42" s="7" t="b">
        <v>0</v>
      </c>
      <c r="N42" s="7" t="b">
        <v>0</v>
      </c>
    </row>
    <row r="43" spans="1:15">
      <c r="A43" s="24" t="s">
        <v>47</v>
      </c>
      <c r="B43" s="5" t="b">
        <v>1</v>
      </c>
      <c r="C43" s="5" t="b">
        <v>0</v>
      </c>
      <c r="D43" s="5" t="b">
        <v>1</v>
      </c>
      <c r="E43" s="5" t="b">
        <v>1</v>
      </c>
      <c r="F43" s="5" t="b">
        <v>1</v>
      </c>
      <c r="G43" s="5" t="b">
        <v>1</v>
      </c>
      <c r="H43" s="5" t="b">
        <v>1</v>
      </c>
      <c r="I43" s="5" t="b">
        <v>1</v>
      </c>
      <c r="J43" s="5" t="b">
        <v>1</v>
      </c>
      <c r="K43" s="5"/>
      <c r="L43" s="5" t="b">
        <v>0</v>
      </c>
      <c r="N43" s="5" t="b">
        <v>0</v>
      </c>
    </row>
    <row r="44" spans="1:15">
      <c r="A44" s="24" t="s">
        <v>48</v>
      </c>
      <c r="B44" s="5" t="b">
        <v>1</v>
      </c>
      <c r="C44" s="5" t="b">
        <v>0</v>
      </c>
      <c r="D44" s="5" t="b">
        <v>1</v>
      </c>
      <c r="E44" s="5" t="b">
        <v>1</v>
      </c>
      <c r="F44" s="5" t="b">
        <v>1</v>
      </c>
      <c r="G44" s="5" t="b">
        <v>1</v>
      </c>
      <c r="H44" s="5" t="b">
        <v>1</v>
      </c>
      <c r="I44" s="5" t="b">
        <v>1</v>
      </c>
      <c r="J44" s="5" t="b">
        <v>1</v>
      </c>
      <c r="K44" s="5"/>
      <c r="L44" s="5" t="b">
        <v>0</v>
      </c>
      <c r="N44" s="5" t="b">
        <v>0</v>
      </c>
    </row>
    <row r="45" spans="1:15">
      <c r="A45" s="18" t="s">
        <v>49</v>
      </c>
      <c r="B45" s="7" t="b">
        <v>1</v>
      </c>
      <c r="C45" s="7" t="b">
        <v>1</v>
      </c>
      <c r="D45" s="7" t="b">
        <v>1</v>
      </c>
      <c r="E45" s="7" t="b">
        <v>1</v>
      </c>
      <c r="F45" s="7" t="b">
        <v>1</v>
      </c>
      <c r="G45" s="7" t="b">
        <v>1</v>
      </c>
      <c r="H45" s="7" t="b">
        <v>0</v>
      </c>
      <c r="I45" s="7" t="b">
        <v>1</v>
      </c>
      <c r="J45" s="7" t="b">
        <v>1</v>
      </c>
      <c r="K45" s="7"/>
      <c r="L45" s="7" t="b">
        <v>0</v>
      </c>
      <c r="N45" s="7" t="b">
        <v>0</v>
      </c>
    </row>
    <row r="46" spans="1:15">
      <c r="A46" s="18" t="s">
        <v>50</v>
      </c>
      <c r="B46" s="7" t="b">
        <v>1</v>
      </c>
      <c r="C46" s="7" t="b">
        <v>1</v>
      </c>
      <c r="D46" s="7" t="b">
        <v>1</v>
      </c>
      <c r="E46" s="7" t="b">
        <v>1</v>
      </c>
      <c r="F46" s="7" t="b">
        <v>1</v>
      </c>
      <c r="G46" s="7" t="b">
        <v>1</v>
      </c>
      <c r="H46" s="7" t="b">
        <v>0</v>
      </c>
      <c r="I46" s="7" t="b">
        <v>1</v>
      </c>
      <c r="J46" s="7" t="b">
        <v>1</v>
      </c>
      <c r="K46" s="7"/>
      <c r="L46" s="7" t="b">
        <v>0</v>
      </c>
      <c r="N46" s="7" t="b">
        <v>0</v>
      </c>
    </row>
    <row r="47" spans="1:15">
      <c r="A47" s="19" t="s">
        <v>51</v>
      </c>
      <c r="B47" s="5" t="b">
        <v>1</v>
      </c>
      <c r="C47" s="5" t="b">
        <v>1</v>
      </c>
      <c r="D47" s="5" t="b">
        <v>1</v>
      </c>
      <c r="E47" s="5" t="b">
        <v>1</v>
      </c>
      <c r="F47" s="5" t="b">
        <v>0</v>
      </c>
      <c r="G47" s="5" t="b">
        <v>1</v>
      </c>
      <c r="H47" s="5" t="b">
        <v>0</v>
      </c>
      <c r="I47" s="5" t="b">
        <v>1</v>
      </c>
      <c r="J47" s="5" t="b">
        <v>1</v>
      </c>
      <c r="K47" s="5"/>
      <c r="L47" s="5" t="b">
        <v>0</v>
      </c>
      <c r="N47" s="5" t="b">
        <v>0</v>
      </c>
    </row>
    <row r="48" spans="1:15">
      <c r="A48" s="19" t="s">
        <v>52</v>
      </c>
      <c r="B48" s="5" t="b">
        <v>1</v>
      </c>
      <c r="C48" s="5" t="b">
        <v>1</v>
      </c>
      <c r="D48" s="5" t="b">
        <v>1</v>
      </c>
      <c r="E48" s="5" t="b">
        <v>1</v>
      </c>
      <c r="F48" s="5" t="b">
        <v>0</v>
      </c>
      <c r="G48" s="5" t="b">
        <v>1</v>
      </c>
      <c r="H48" s="5" t="b">
        <v>0</v>
      </c>
      <c r="I48" s="5" t="b">
        <v>1</v>
      </c>
      <c r="J48" s="5" t="b">
        <v>1</v>
      </c>
      <c r="K48" s="5"/>
      <c r="L48" s="5" t="b">
        <v>0</v>
      </c>
      <c r="N48" s="5" t="b">
        <v>0</v>
      </c>
    </row>
    <row r="49" spans="1:15">
      <c r="A49" s="26" t="s">
        <v>53</v>
      </c>
      <c r="B49" s="27" t="b">
        <v>1</v>
      </c>
      <c r="C49" s="27" t="b">
        <v>1</v>
      </c>
      <c r="D49" s="27" t="b">
        <v>1</v>
      </c>
      <c r="E49" s="27" t="b">
        <v>1</v>
      </c>
      <c r="F49" s="27" t="b">
        <v>0</v>
      </c>
      <c r="G49" s="27" t="b">
        <v>1</v>
      </c>
      <c r="H49" s="27" t="b">
        <v>0</v>
      </c>
      <c r="I49" s="27" t="b">
        <v>1</v>
      </c>
      <c r="J49" s="27" t="b">
        <v>1</v>
      </c>
      <c r="K49" s="27"/>
      <c r="L49" s="27" t="b">
        <v>0</v>
      </c>
      <c r="N49" s="5" t="b">
        <v>0</v>
      </c>
    </row>
    <row r="50" spans="1:15">
      <c r="A50" s="18" t="s">
        <v>54</v>
      </c>
      <c r="B50" s="7" t="b">
        <v>1</v>
      </c>
      <c r="C50" s="7" t="b">
        <v>1</v>
      </c>
      <c r="D50" s="7" t="b">
        <v>1</v>
      </c>
      <c r="E50" s="7" t="b">
        <v>1</v>
      </c>
      <c r="F50" s="7" t="b">
        <v>1</v>
      </c>
      <c r="G50" s="7" t="b">
        <v>1</v>
      </c>
      <c r="H50" s="7" t="b">
        <v>1</v>
      </c>
      <c r="I50" s="7" t="b">
        <v>1</v>
      </c>
      <c r="J50" s="7" t="b">
        <v>1</v>
      </c>
      <c r="K50" s="7"/>
      <c r="L50" s="7" t="b">
        <v>0</v>
      </c>
      <c r="N50" s="7" t="b">
        <v>0</v>
      </c>
    </row>
    <row r="51" spans="1:15">
      <c r="B51">
        <f>COUNTIF(B4:B50,TRUE)</f>
        <v>38</v>
      </c>
      <c r="C51">
        <f t="shared" ref="C51:L51" si="0">COUNTIF(C4:C50,TRUE)</f>
        <v>31</v>
      </c>
      <c r="D51">
        <f t="shared" si="0"/>
        <v>25</v>
      </c>
      <c r="E51">
        <f t="shared" si="0"/>
        <v>19</v>
      </c>
      <c r="F51">
        <f t="shared" si="0"/>
        <v>29</v>
      </c>
      <c r="G51">
        <f t="shared" si="0"/>
        <v>33</v>
      </c>
      <c r="H51">
        <f t="shared" si="0"/>
        <v>6</v>
      </c>
      <c r="I51">
        <f t="shared" si="0"/>
        <v>28</v>
      </c>
      <c r="J51">
        <f t="shared" si="0"/>
        <v>27</v>
      </c>
      <c r="L51">
        <f t="shared" si="0"/>
        <v>1</v>
      </c>
      <c r="N51">
        <f t="shared" ref="N51" si="1">COUNTIF(N4:N50,TRUE)</f>
        <v>0</v>
      </c>
    </row>
    <row r="52" spans="1:15">
      <c r="B52">
        <f>B51*B2</f>
        <v>1520</v>
      </c>
      <c r="C52">
        <f t="shared" ref="C52:L52" si="2">C51*C2</f>
        <v>1550</v>
      </c>
      <c r="D52">
        <f t="shared" si="2"/>
        <v>1500</v>
      </c>
      <c r="E52">
        <f t="shared" si="2"/>
        <v>1235</v>
      </c>
      <c r="F52">
        <f t="shared" si="2"/>
        <v>1160</v>
      </c>
      <c r="G52">
        <f t="shared" si="2"/>
        <v>1980</v>
      </c>
      <c r="H52">
        <f t="shared" si="2"/>
        <v>420</v>
      </c>
      <c r="I52">
        <f t="shared" si="2"/>
        <v>1120</v>
      </c>
      <c r="J52">
        <f t="shared" si="2"/>
        <v>2700</v>
      </c>
      <c r="L52">
        <f t="shared" si="2"/>
        <v>65</v>
      </c>
      <c r="N52">
        <f>SUM(B52:L52)</f>
        <v>13250</v>
      </c>
      <c r="O52">
        <f>SUM(B52:J52,L52)</f>
        <v>13250</v>
      </c>
    </row>
    <row r="53" spans="1:15">
      <c r="A53" s="59" t="s">
        <v>88</v>
      </c>
      <c r="B53" s="60">
        <v>-10</v>
      </c>
      <c r="C53" s="60">
        <v>-40</v>
      </c>
      <c r="D53" s="60">
        <v>-10</v>
      </c>
      <c r="E53" s="60">
        <v>-10</v>
      </c>
      <c r="F53" s="60">
        <v>-10</v>
      </c>
      <c r="G53" s="60">
        <v>-10</v>
      </c>
      <c r="H53" s="60">
        <v>0</v>
      </c>
      <c r="I53" s="60">
        <v>-10</v>
      </c>
      <c r="J53" s="60">
        <v>-20</v>
      </c>
      <c r="K53" s="60"/>
      <c r="L53" s="60">
        <v>0</v>
      </c>
      <c r="M53" s="60" t="s">
        <v>89</v>
      </c>
      <c r="N53" s="60">
        <f>SUM(B53:J53,L53)</f>
        <v>-120</v>
      </c>
      <c r="O53" s="60">
        <f>N53</f>
        <v>-120</v>
      </c>
    </row>
  </sheetData>
  <phoneticPr fontId="2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7D37-729D-4DFC-8576-3560E5FF2A6E}">
  <dimension ref="A1:J3"/>
  <sheetViews>
    <sheetView tabSelected="1" workbookViewId="0">
      <selection activeCell="G19" sqref="G19"/>
    </sheetView>
  </sheetViews>
  <sheetFormatPr defaultRowHeight="14.6"/>
  <cols>
    <col min="1" max="1" width="17.15234375" customWidth="1"/>
    <col min="2" max="2" width="10.3828125" customWidth="1"/>
    <col min="3" max="3" width="15.3046875" customWidth="1"/>
    <col min="4" max="4" width="15.69140625" customWidth="1"/>
  </cols>
  <sheetData>
    <row r="1" spans="1:10">
      <c r="A1" s="1" t="s">
        <v>235</v>
      </c>
      <c r="B1" s="1" t="s">
        <v>236</v>
      </c>
      <c r="C1" s="1" t="s">
        <v>237</v>
      </c>
      <c r="D1" s="1" t="s">
        <v>263</v>
      </c>
      <c r="E1" s="1" t="s">
        <v>238</v>
      </c>
      <c r="F1" s="1" t="s">
        <v>254</v>
      </c>
      <c r="G1" s="1" t="s">
        <v>251</v>
      </c>
      <c r="H1" s="1" t="s">
        <v>252</v>
      </c>
      <c r="I1" s="1" t="s">
        <v>253</v>
      </c>
      <c r="J1" s="1" t="s">
        <v>89</v>
      </c>
    </row>
    <row r="2" spans="1:10">
      <c r="A2" s="74" t="s">
        <v>250</v>
      </c>
      <c r="B2" s="5" t="b">
        <v>1</v>
      </c>
      <c r="C2" s="5" t="b">
        <v>0</v>
      </c>
      <c r="D2" s="5" t="b">
        <v>0</v>
      </c>
      <c r="E2" s="5" t="b">
        <v>1</v>
      </c>
      <c r="F2">
        <v>200</v>
      </c>
      <c r="G2">
        <v>42</v>
      </c>
      <c r="H2">
        <v>3</v>
      </c>
      <c r="I2">
        <v>2</v>
      </c>
      <c r="J2">
        <f>(G2*F2) + (H2*0.5* F2)</f>
        <v>8700</v>
      </c>
    </row>
    <row r="3" spans="1:10">
      <c r="A3" s="74" t="s">
        <v>255</v>
      </c>
      <c r="B3" s="5" t="b">
        <v>1</v>
      </c>
      <c r="C3" s="5" t="b">
        <v>0</v>
      </c>
      <c r="D3" s="5" t="b">
        <v>0</v>
      </c>
      <c r="E3" s="5" t="b">
        <v>1</v>
      </c>
      <c r="F3">
        <v>30</v>
      </c>
      <c r="G3">
        <v>47</v>
      </c>
      <c r="J3">
        <f>(F3*G3)</f>
        <v>1410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F14D-BCA3-4481-A772-79C7A82C0AFB}">
  <dimension ref="A1:J11"/>
  <sheetViews>
    <sheetView workbookViewId="0">
      <selection activeCell="B14" sqref="B14"/>
    </sheetView>
  </sheetViews>
  <sheetFormatPr defaultRowHeight="14.6"/>
  <cols>
    <col min="1" max="1" width="11.53515625" bestFit="1" customWidth="1"/>
    <col min="2" max="2" width="15.765625" customWidth="1"/>
  </cols>
  <sheetData>
    <row r="1" spans="1:10">
      <c r="A1" s="1" t="s">
        <v>239</v>
      </c>
    </row>
    <row r="2" spans="1:10" ht="17.600000000000001">
      <c r="A2" s="77" t="s">
        <v>240</v>
      </c>
      <c r="E2" s="75"/>
      <c r="F2" s="75"/>
      <c r="G2" s="75"/>
      <c r="H2" s="75"/>
      <c r="I2" s="75"/>
      <c r="J2" s="76"/>
    </row>
    <row r="3" spans="1:10" ht="17.600000000000001">
      <c r="A3" s="77" t="s">
        <v>241</v>
      </c>
      <c r="E3" s="75"/>
      <c r="F3" s="75"/>
      <c r="G3" s="75"/>
      <c r="H3" s="75"/>
      <c r="I3" s="75"/>
      <c r="J3" s="76"/>
    </row>
    <row r="4" spans="1:10" ht="17.600000000000001">
      <c r="A4" s="77" t="s">
        <v>242</v>
      </c>
      <c r="E4" s="75"/>
      <c r="F4" s="75"/>
      <c r="G4" s="75"/>
      <c r="H4" s="75"/>
      <c r="I4" s="75"/>
      <c r="J4" s="76"/>
    </row>
    <row r="5" spans="1:10" ht="17.600000000000001">
      <c r="A5" s="77" t="s">
        <v>243</v>
      </c>
      <c r="E5" s="75"/>
      <c r="F5" s="75"/>
      <c r="G5" s="75"/>
      <c r="H5" s="75"/>
      <c r="I5" s="75"/>
      <c r="J5" s="76"/>
    </row>
    <row r="6" spans="1:10" ht="17.600000000000001">
      <c r="A6" s="77" t="s">
        <v>244</v>
      </c>
      <c r="E6" s="75"/>
      <c r="F6" s="75"/>
      <c r="G6" s="75"/>
      <c r="H6" s="75"/>
      <c r="I6" s="75"/>
      <c r="J6" s="76"/>
    </row>
    <row r="7" spans="1:10" ht="17.600000000000001">
      <c r="A7" s="77" t="s">
        <v>245</v>
      </c>
      <c r="E7" s="75"/>
      <c r="F7" s="75"/>
      <c r="G7" s="75"/>
      <c r="H7" s="75"/>
      <c r="I7" s="75"/>
      <c r="J7" s="76"/>
    </row>
    <row r="8" spans="1:10" ht="17.600000000000001">
      <c r="A8" s="77" t="s">
        <v>246</v>
      </c>
      <c r="E8" s="75"/>
      <c r="F8" s="75"/>
      <c r="G8" s="75"/>
      <c r="H8" s="75"/>
      <c r="I8" s="75"/>
      <c r="J8" s="76"/>
    </row>
    <row r="9" spans="1:10" ht="17.600000000000001">
      <c r="A9" s="77" t="s">
        <v>247</v>
      </c>
      <c r="E9" s="75"/>
      <c r="F9" s="75"/>
      <c r="G9" s="75"/>
      <c r="H9" s="75"/>
      <c r="I9" s="75"/>
      <c r="J9" s="76"/>
    </row>
    <row r="10" spans="1:10" ht="17.600000000000001">
      <c r="A10" s="77" t="s">
        <v>248</v>
      </c>
      <c r="E10" s="75"/>
      <c r="F10" s="75"/>
      <c r="G10" s="75"/>
      <c r="H10" s="75"/>
      <c r="I10" s="75"/>
      <c r="J10" s="76"/>
    </row>
    <row r="11" spans="1:10">
      <c r="A11" s="77" t="s">
        <v>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5"/>
  <sheetViews>
    <sheetView workbookViewId="0"/>
  </sheetViews>
  <sheetFormatPr defaultRowHeight="14.6"/>
  <cols>
    <col min="1" max="1" width="23.07421875" customWidth="1"/>
    <col min="2" max="2" width="35" customWidth="1"/>
    <col min="3" max="3" width="47.69140625" customWidth="1"/>
    <col min="4" max="4" width="20.15234375" customWidth="1"/>
  </cols>
  <sheetData>
    <row r="2" spans="1:4">
      <c r="A2" t="s">
        <v>55</v>
      </c>
      <c r="B2" s="12" t="s">
        <v>56</v>
      </c>
      <c r="C2" t="s">
        <v>57</v>
      </c>
      <c r="D2" t="s">
        <v>58</v>
      </c>
    </row>
    <row r="3" spans="1:4">
      <c r="A3" t="s">
        <v>59</v>
      </c>
      <c r="B3" t="s">
        <v>60</v>
      </c>
      <c r="C3" t="s">
        <v>61</v>
      </c>
      <c r="D3" t="s">
        <v>62</v>
      </c>
    </row>
    <row r="4" spans="1:4">
      <c r="A4" t="s">
        <v>63</v>
      </c>
      <c r="B4" t="s">
        <v>64</v>
      </c>
      <c r="C4" t="s">
        <v>65</v>
      </c>
      <c r="D4" t="s">
        <v>66</v>
      </c>
    </row>
    <row r="5" spans="1:4">
      <c r="A5" t="s">
        <v>67</v>
      </c>
      <c r="B5" t="s">
        <v>68</v>
      </c>
      <c r="C5" t="s">
        <v>69</v>
      </c>
      <c r="D5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/>
  </sheetViews>
  <sheetFormatPr defaultRowHeight="14.6"/>
  <cols>
    <col min="1" max="1" width="24.69140625" customWidth="1"/>
  </cols>
  <sheetData>
    <row r="1" spans="1:11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</row>
    <row r="2" spans="1:11">
      <c r="A2" t="s">
        <v>81</v>
      </c>
      <c r="B2" s="2" t="b">
        <v>0</v>
      </c>
      <c r="C2" s="2" t="b">
        <v>0</v>
      </c>
      <c r="D2" s="2" t="b">
        <v>0</v>
      </c>
      <c r="E2" s="2" t="b">
        <v>0</v>
      </c>
      <c r="F2" s="2" t="b">
        <v>0</v>
      </c>
      <c r="G2" s="2" t="b">
        <v>0</v>
      </c>
      <c r="H2" s="2" t="b">
        <v>0</v>
      </c>
      <c r="I2" s="2" t="b">
        <v>0</v>
      </c>
      <c r="J2" s="2" t="b">
        <v>0</v>
      </c>
    </row>
    <row r="3" spans="1:11">
      <c r="A3" t="s">
        <v>82</v>
      </c>
      <c r="B3" s="2" t="b">
        <v>0</v>
      </c>
      <c r="C3" s="2" t="b">
        <v>1</v>
      </c>
      <c r="D3" s="2" t="b">
        <v>0</v>
      </c>
      <c r="E3" s="2" t="b">
        <v>0</v>
      </c>
      <c r="F3" s="2" t="b">
        <v>0</v>
      </c>
      <c r="G3" s="2" t="b">
        <v>0</v>
      </c>
      <c r="H3" s="2" t="b">
        <v>0</v>
      </c>
      <c r="I3" s="2" t="b">
        <v>0</v>
      </c>
      <c r="J3" s="2" t="b">
        <v>0</v>
      </c>
      <c r="K3" s="14">
        <f>82000/360</f>
        <v>227.77777777777777</v>
      </c>
    </row>
    <row r="4" spans="1:11">
      <c r="A4" t="s">
        <v>83</v>
      </c>
      <c r="B4" s="2" t="b">
        <v>0</v>
      </c>
      <c r="C4" s="2" t="b">
        <v>0</v>
      </c>
      <c r="D4" s="2" t="b">
        <v>1</v>
      </c>
      <c r="E4" s="2" t="b">
        <v>0</v>
      </c>
      <c r="F4" s="2" t="b">
        <v>0</v>
      </c>
      <c r="G4" s="2" t="b">
        <v>0</v>
      </c>
      <c r="H4" s="2" t="b">
        <v>0</v>
      </c>
      <c r="I4" s="2" t="b">
        <v>0</v>
      </c>
      <c r="J4" s="2" t="b">
        <v>0</v>
      </c>
      <c r="K4" s="14">
        <v>360</v>
      </c>
    </row>
    <row r="5" spans="1:11">
      <c r="A5" t="s">
        <v>84</v>
      </c>
      <c r="B5" s="2" t="b">
        <v>0</v>
      </c>
      <c r="C5" s="2" t="b">
        <v>0</v>
      </c>
      <c r="D5" s="2" t="b">
        <v>1</v>
      </c>
      <c r="E5" s="2" t="b">
        <v>0</v>
      </c>
      <c r="F5" s="2" t="b">
        <v>0</v>
      </c>
      <c r="G5" s="2" t="b">
        <v>0</v>
      </c>
      <c r="H5" s="2" t="b">
        <v>0</v>
      </c>
      <c r="I5" s="2" t="b">
        <v>0</v>
      </c>
      <c r="J5" s="2" t="b">
        <v>0</v>
      </c>
      <c r="K5" s="14"/>
    </row>
    <row r="6" spans="1:11">
      <c r="A6" t="s">
        <v>85</v>
      </c>
      <c r="B6" s="2" t="b">
        <v>0</v>
      </c>
      <c r="C6" s="2" t="b">
        <v>0</v>
      </c>
      <c r="D6" s="2" t="b">
        <v>0</v>
      </c>
      <c r="E6" s="2" t="b">
        <v>0</v>
      </c>
      <c r="F6" s="2" t="b">
        <v>0</v>
      </c>
      <c r="G6" s="2" t="b">
        <v>0</v>
      </c>
      <c r="H6" s="2" t="b">
        <v>0</v>
      </c>
      <c r="I6" s="2" t="b">
        <v>1</v>
      </c>
      <c r="J6" s="2" t="b">
        <v>0</v>
      </c>
      <c r="K6" s="14"/>
    </row>
    <row r="7" spans="1:11">
      <c r="A7" t="s">
        <v>86</v>
      </c>
      <c r="B7" s="2" t="b">
        <v>0</v>
      </c>
      <c r="C7" s="2" t="b">
        <v>0</v>
      </c>
      <c r="D7" s="2" t="b">
        <v>0</v>
      </c>
      <c r="E7" s="2" t="b">
        <v>0</v>
      </c>
      <c r="F7" s="2" t="b">
        <v>0</v>
      </c>
      <c r="G7" s="2" t="b">
        <v>0</v>
      </c>
      <c r="H7" s="2" t="b">
        <v>0</v>
      </c>
      <c r="I7" s="2" t="b">
        <v>0</v>
      </c>
      <c r="J7" s="2" t="b">
        <v>0</v>
      </c>
      <c r="K7" s="14"/>
    </row>
    <row r="8" spans="1:11">
      <c r="B8" s="2" t="b">
        <v>0</v>
      </c>
      <c r="C8" s="2" t="b">
        <v>0</v>
      </c>
      <c r="D8" s="2" t="b">
        <v>0</v>
      </c>
      <c r="E8" s="2" t="b">
        <v>0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0</v>
      </c>
      <c r="K8" s="14"/>
    </row>
    <row r="9" spans="1:11">
      <c r="K9" s="14">
        <f>SUM(K3:K8)</f>
        <v>587.77777777777783</v>
      </c>
    </row>
    <row r="10" spans="1:11">
      <c r="C10" s="3">
        <v>46164</v>
      </c>
      <c r="D10" s="3">
        <v>46165</v>
      </c>
      <c r="E10" s="3">
        <v>46166</v>
      </c>
      <c r="F10" s="3">
        <v>46167</v>
      </c>
      <c r="G10" s="3">
        <v>46168</v>
      </c>
      <c r="H10" s="3">
        <v>46169</v>
      </c>
      <c r="I10" s="3">
        <v>46170</v>
      </c>
      <c r="J10" s="3">
        <v>46171</v>
      </c>
    </row>
    <row r="11" spans="1:11">
      <c r="K11" s="14">
        <f>2200-K9</f>
        <v>1612.2222222222222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topLeftCell="A7" workbookViewId="0">
      <selection sqref="A1:D1"/>
    </sheetView>
  </sheetViews>
  <sheetFormatPr defaultRowHeight="14.6"/>
  <cols>
    <col min="1" max="1" width="8" customWidth="1"/>
    <col min="2" max="2" width="16" customWidth="1"/>
    <col min="3" max="3" width="24" customWidth="1"/>
    <col min="4" max="4" width="30" customWidth="1"/>
    <col min="5" max="5" width="14" customWidth="1"/>
    <col min="6" max="6" width="12" customWidth="1"/>
    <col min="7" max="8" width="14" customWidth="1"/>
    <col min="9" max="9" width="16" customWidth="1"/>
    <col min="10" max="10" width="42" customWidth="1"/>
  </cols>
  <sheetData>
    <row r="1" spans="1:13">
      <c r="A1" s="79" t="s">
        <v>90</v>
      </c>
      <c r="B1" s="79"/>
      <c r="C1" s="79"/>
      <c r="D1" s="79"/>
      <c r="E1" s="67"/>
      <c r="F1" s="67"/>
      <c r="G1" s="67"/>
      <c r="H1" s="67"/>
      <c r="I1" s="67"/>
      <c r="J1" s="67"/>
    </row>
    <row r="2" spans="1:13">
      <c r="A2" s="46"/>
      <c r="B2" s="46"/>
      <c r="C2" s="46"/>
      <c r="D2" s="46"/>
      <c r="E2" s="46"/>
      <c r="F2" s="46"/>
      <c r="G2" s="46"/>
      <c r="H2" s="46"/>
      <c r="I2" s="46"/>
      <c r="J2" s="46"/>
      <c r="L2" s="61" t="s">
        <v>91</v>
      </c>
      <c r="M2" s="66"/>
    </row>
    <row r="3" spans="1:13">
      <c r="A3" s="63" t="s">
        <v>92</v>
      </c>
      <c r="B3" s="63" t="s">
        <v>93</v>
      </c>
      <c r="C3" s="63" t="s">
        <v>94</v>
      </c>
      <c r="D3" s="63" t="s">
        <v>95</v>
      </c>
      <c r="E3" s="63" t="s">
        <v>96</v>
      </c>
      <c r="F3" s="63" t="s">
        <v>97</v>
      </c>
      <c r="G3" s="63" t="s">
        <v>98</v>
      </c>
      <c r="H3" s="63" t="s">
        <v>99</v>
      </c>
      <c r="I3" s="63" t="s">
        <v>100</v>
      </c>
      <c r="J3" s="63" t="s">
        <v>101</v>
      </c>
    </row>
    <row r="4" spans="1:13">
      <c r="A4" s="46">
        <v>1</v>
      </c>
      <c r="B4" s="46" t="s">
        <v>2</v>
      </c>
      <c r="C4" s="47" t="s">
        <v>102</v>
      </c>
      <c r="D4" s="46" t="s">
        <v>103</v>
      </c>
      <c r="E4" s="46" t="s">
        <v>104</v>
      </c>
      <c r="F4" s="46" t="s">
        <v>105</v>
      </c>
      <c r="G4" s="47"/>
      <c r="H4" s="47">
        <f t="shared" ref="H4:H14" si="0">$M$2</f>
        <v>0</v>
      </c>
      <c r="I4" s="47">
        <f t="shared" ref="I4:I14" si="1">IF(F4="EUR",IF(ISNUMBER(G4),G4,0),IF(AND(F4="CZK",ISNUMBER(G4),$M$2&gt;0),G4/$M$2,0))</f>
        <v>0</v>
      </c>
      <c r="J4" s="46" t="s">
        <v>106</v>
      </c>
    </row>
    <row r="5" spans="1:13">
      <c r="A5" s="46">
        <v>1</v>
      </c>
      <c r="B5" s="46" t="s">
        <v>2</v>
      </c>
      <c r="C5" s="47" t="s">
        <v>107</v>
      </c>
      <c r="D5" s="46" t="s">
        <v>108</v>
      </c>
      <c r="E5" s="46" t="s">
        <v>109</v>
      </c>
      <c r="F5" s="46" t="s">
        <v>110</v>
      </c>
      <c r="G5" s="47">
        <v>738</v>
      </c>
      <c r="H5" s="47">
        <f t="shared" si="0"/>
        <v>0</v>
      </c>
      <c r="I5" s="47">
        <f t="shared" si="1"/>
        <v>0</v>
      </c>
      <c r="J5" s="46" t="s">
        <v>111</v>
      </c>
    </row>
    <row r="6" spans="1:13">
      <c r="A6" s="46">
        <v>2</v>
      </c>
      <c r="B6" s="46" t="s">
        <v>3</v>
      </c>
      <c r="C6" s="47" t="s">
        <v>112</v>
      </c>
      <c r="D6" s="46" t="s">
        <v>113</v>
      </c>
      <c r="E6" s="46" t="s">
        <v>114</v>
      </c>
      <c r="F6" s="46" t="s">
        <v>105</v>
      </c>
      <c r="G6" s="47">
        <v>662</v>
      </c>
      <c r="H6" s="47">
        <f t="shared" si="0"/>
        <v>0</v>
      </c>
      <c r="I6" s="47">
        <f t="shared" si="1"/>
        <v>662</v>
      </c>
      <c r="J6" s="46" t="s">
        <v>115</v>
      </c>
    </row>
    <row r="7" spans="1:13">
      <c r="A7" s="46">
        <v>3</v>
      </c>
      <c r="B7" s="46" t="s">
        <v>4</v>
      </c>
      <c r="C7" s="47" t="s">
        <v>116</v>
      </c>
      <c r="D7" s="46" t="s">
        <v>117</v>
      </c>
      <c r="E7" s="46" t="s">
        <v>114</v>
      </c>
      <c r="F7" s="46" t="s">
        <v>110</v>
      </c>
      <c r="G7" s="47">
        <v>390</v>
      </c>
      <c r="H7" s="47">
        <f t="shared" si="0"/>
        <v>0</v>
      </c>
      <c r="I7" s="47">
        <f t="shared" si="1"/>
        <v>0</v>
      </c>
      <c r="J7" s="46" t="s">
        <v>118</v>
      </c>
    </row>
    <row r="8" spans="1:13">
      <c r="A8" s="50">
        <v>4</v>
      </c>
      <c r="B8" s="50" t="s">
        <v>119</v>
      </c>
      <c r="C8" s="51" t="s">
        <v>120</v>
      </c>
      <c r="D8" s="50" t="s">
        <v>121</v>
      </c>
      <c r="E8" s="46" t="s">
        <v>122</v>
      </c>
      <c r="F8" s="46" t="s">
        <v>105</v>
      </c>
      <c r="G8" s="47">
        <v>710</v>
      </c>
      <c r="H8" s="47">
        <f t="shared" si="0"/>
        <v>0</v>
      </c>
      <c r="I8" s="47">
        <f t="shared" si="1"/>
        <v>710</v>
      </c>
      <c r="J8" s="46" t="s">
        <v>123</v>
      </c>
    </row>
    <row r="9" spans="1:13">
      <c r="A9" s="46">
        <v>5</v>
      </c>
      <c r="B9" s="46" t="s">
        <v>124</v>
      </c>
      <c r="C9" s="46" t="s">
        <v>125</v>
      </c>
      <c r="D9" s="46"/>
      <c r="E9" s="46"/>
      <c r="F9" s="46" t="s">
        <v>105</v>
      </c>
      <c r="G9" s="47">
        <v>0</v>
      </c>
      <c r="H9" s="47">
        <f t="shared" si="0"/>
        <v>0</v>
      </c>
      <c r="I9" s="47">
        <f t="shared" si="1"/>
        <v>0</v>
      </c>
      <c r="J9" s="46" t="s">
        <v>126</v>
      </c>
    </row>
    <row r="10" spans="1:13">
      <c r="A10" s="46">
        <v>6</v>
      </c>
      <c r="B10" s="46" t="s">
        <v>127</v>
      </c>
      <c r="C10" s="46" t="s">
        <v>125</v>
      </c>
      <c r="D10" s="46"/>
      <c r="E10" s="46"/>
      <c r="F10" s="46" t="s">
        <v>105</v>
      </c>
      <c r="G10" s="47">
        <v>0</v>
      </c>
      <c r="H10" s="47">
        <f t="shared" si="0"/>
        <v>0</v>
      </c>
      <c r="I10" s="47">
        <f t="shared" si="1"/>
        <v>0</v>
      </c>
      <c r="J10" s="46" t="s">
        <v>126</v>
      </c>
    </row>
    <row r="11" spans="1:13">
      <c r="A11" s="46">
        <v>7</v>
      </c>
      <c r="B11" s="46" t="s">
        <v>128</v>
      </c>
      <c r="C11" s="46" t="s">
        <v>125</v>
      </c>
      <c r="D11" s="46"/>
      <c r="E11" s="46"/>
      <c r="F11" s="46" t="s">
        <v>105</v>
      </c>
      <c r="G11" s="47">
        <v>0</v>
      </c>
      <c r="H11" s="47">
        <f t="shared" si="0"/>
        <v>0</v>
      </c>
      <c r="I11" s="47">
        <f t="shared" si="1"/>
        <v>0</v>
      </c>
      <c r="J11" s="46" t="s">
        <v>126</v>
      </c>
    </row>
    <row r="12" spans="1:13">
      <c r="A12" s="46">
        <v>8</v>
      </c>
      <c r="B12" s="46" t="s">
        <v>5</v>
      </c>
      <c r="C12" s="46" t="s">
        <v>125</v>
      </c>
      <c r="D12" s="46"/>
      <c r="E12" s="46"/>
      <c r="F12" s="46" t="s">
        <v>105</v>
      </c>
      <c r="G12" s="47">
        <v>0</v>
      </c>
      <c r="H12" s="47">
        <f t="shared" si="0"/>
        <v>0</v>
      </c>
      <c r="I12" s="47">
        <f t="shared" si="1"/>
        <v>0</v>
      </c>
      <c r="J12" s="46" t="s">
        <v>126</v>
      </c>
    </row>
    <row r="13" spans="1:13">
      <c r="A13" s="46">
        <v>9</v>
      </c>
      <c r="B13" s="46" t="s">
        <v>129</v>
      </c>
      <c r="C13" s="46" t="s">
        <v>125</v>
      </c>
      <c r="D13" s="46"/>
      <c r="E13" s="46"/>
      <c r="F13" s="46" t="s">
        <v>105</v>
      </c>
      <c r="G13" s="47">
        <v>0</v>
      </c>
      <c r="H13" s="47">
        <f t="shared" si="0"/>
        <v>0</v>
      </c>
      <c r="I13" s="47">
        <f t="shared" si="1"/>
        <v>0</v>
      </c>
      <c r="J13" s="46" t="s">
        <v>126</v>
      </c>
    </row>
    <row r="14" spans="1:13">
      <c r="A14" s="68">
        <v>10</v>
      </c>
      <c r="B14" s="46" t="s">
        <v>6</v>
      </c>
      <c r="C14" s="46" t="s">
        <v>125</v>
      </c>
      <c r="D14" s="46"/>
      <c r="E14" s="46"/>
      <c r="F14" s="46" t="s">
        <v>105</v>
      </c>
      <c r="G14" s="47">
        <v>0</v>
      </c>
      <c r="H14" s="47">
        <f t="shared" si="0"/>
        <v>0</v>
      </c>
      <c r="I14" s="47">
        <f t="shared" si="1"/>
        <v>0</v>
      </c>
      <c r="J14" s="46" t="s">
        <v>126</v>
      </c>
    </row>
    <row r="15" spans="1:13">
      <c r="A15" s="46"/>
      <c r="B15" s="46"/>
      <c r="C15" s="46"/>
      <c r="D15" s="46"/>
      <c r="E15" s="46"/>
      <c r="F15" s="46"/>
      <c r="G15" s="47"/>
      <c r="H15" s="47"/>
      <c r="I15" s="47"/>
      <c r="J15" s="46"/>
    </row>
    <row r="16" spans="1:13" ht="43.75">
      <c r="A16" s="64" t="s">
        <v>130</v>
      </c>
      <c r="B16" s="64"/>
      <c r="C16" s="64"/>
      <c r="D16" s="64"/>
      <c r="E16" s="64"/>
      <c r="F16" s="64"/>
      <c r="G16" s="65"/>
      <c r="H16" s="65"/>
      <c r="I16" s="65">
        <f>SUM(I4:I14)</f>
        <v>1372</v>
      </c>
      <c r="J16" s="64"/>
    </row>
    <row r="17" spans="1:10">
      <c r="A17" s="46"/>
      <c r="B17" s="46"/>
      <c r="C17" s="46"/>
      <c r="D17" s="46"/>
      <c r="E17" s="46"/>
      <c r="F17" s="46"/>
      <c r="G17" s="47"/>
      <c r="H17" s="47"/>
      <c r="I17" s="47"/>
      <c r="J17" s="46"/>
    </row>
    <row r="18" spans="1:10" ht="87.45">
      <c r="A18" s="69" t="s">
        <v>131</v>
      </c>
      <c r="B18" s="69"/>
      <c r="C18" s="69"/>
      <c r="D18" s="69"/>
      <c r="E18" s="69"/>
      <c r="F18" s="69"/>
      <c r="G18" s="70"/>
      <c r="H18" s="70"/>
      <c r="I18" s="70">
        <v>1442</v>
      </c>
      <c r="J18" s="69"/>
    </row>
    <row r="19" spans="1:10" ht="58.3">
      <c r="A19" s="69" t="s">
        <v>132</v>
      </c>
      <c r="B19" s="69"/>
      <c r="C19" s="69"/>
      <c r="D19" s="69"/>
      <c r="E19" s="69"/>
      <c r="F19" s="69"/>
      <c r="G19" s="70"/>
      <c r="H19" s="70"/>
      <c r="I19" s="70">
        <f>I18-I16</f>
        <v>70</v>
      </c>
      <c r="J19" s="69"/>
    </row>
    <row r="22" spans="1:10">
      <c r="A22" s="15"/>
      <c r="B22" s="16"/>
      <c r="D22" s="15"/>
    </row>
    <row r="23" spans="1:10">
      <c r="A23" s="15"/>
      <c r="B23" s="17"/>
    </row>
    <row r="24" spans="1:10">
      <c r="A24" s="15"/>
      <c r="B24" s="15"/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7"/>
  <sheetViews>
    <sheetView topLeftCell="A4" workbookViewId="0">
      <selection sqref="A1:E1"/>
    </sheetView>
  </sheetViews>
  <sheetFormatPr defaultRowHeight="14.6"/>
  <cols>
    <col min="1" max="1" width="20" customWidth="1"/>
    <col min="2" max="6" width="18" customWidth="1"/>
    <col min="7" max="7" width="29" customWidth="1"/>
    <col min="8" max="8" width="17" customWidth="1"/>
    <col min="10" max="12" width="18" customWidth="1"/>
  </cols>
  <sheetData>
    <row r="1" spans="1:12">
      <c r="A1" s="79" t="s">
        <v>133</v>
      </c>
      <c r="B1" s="79"/>
      <c r="C1" s="79"/>
      <c r="D1" s="79"/>
      <c r="E1" s="79"/>
      <c r="F1" s="56"/>
      <c r="G1" s="80"/>
      <c r="H1" s="80"/>
      <c r="J1" s="80"/>
      <c r="K1" s="80"/>
      <c r="L1" s="80"/>
    </row>
    <row r="2" spans="1:12">
      <c r="A2" s="39"/>
      <c r="B2" s="39"/>
      <c r="C2" s="39"/>
      <c r="D2" s="39"/>
      <c r="E2" s="39"/>
      <c r="F2" s="46"/>
      <c r="G2" s="84" t="s">
        <v>134</v>
      </c>
      <c r="H2" s="84"/>
      <c r="K2" s="14"/>
      <c r="L2" s="41"/>
    </row>
    <row r="3" spans="1:12">
      <c r="A3" s="81" t="s">
        <v>93</v>
      </c>
      <c r="B3" s="81" t="s">
        <v>135</v>
      </c>
      <c r="C3" s="81" t="s">
        <v>136</v>
      </c>
      <c r="D3" s="81" t="s">
        <v>137</v>
      </c>
      <c r="E3" s="81" t="s">
        <v>138</v>
      </c>
      <c r="F3" s="82"/>
      <c r="G3" t="s">
        <v>139</v>
      </c>
      <c r="H3" s="41">
        <f>SUM(Satislistesi!C50:L50)</f>
        <v>13250</v>
      </c>
      <c r="K3" s="14"/>
      <c r="L3" s="41"/>
    </row>
    <row r="4" spans="1:12">
      <c r="A4" s="54" t="s">
        <v>2</v>
      </c>
      <c r="B4" s="54">
        <v>12</v>
      </c>
      <c r="C4" s="54">
        <v>0</v>
      </c>
      <c r="D4" s="54">
        <f t="shared" ref="D4:D13" si="0">B4+C4</f>
        <v>12</v>
      </c>
      <c r="E4" s="54">
        <f>COUNTIF(Satislistesi!C3:C49,"&gt;0")-D4</f>
        <v>26</v>
      </c>
      <c r="F4" s="54"/>
      <c r="G4" t="s">
        <v>88</v>
      </c>
      <c r="H4" s="41">
        <f>Satislistesi!N50</f>
        <v>-120</v>
      </c>
      <c r="K4" s="14"/>
      <c r="L4" s="41"/>
    </row>
    <row r="5" spans="1:12">
      <c r="A5" s="46" t="s">
        <v>3</v>
      </c>
      <c r="B5" s="46">
        <v>0</v>
      </c>
      <c r="C5" s="47">
        <v>0</v>
      </c>
      <c r="D5" s="47">
        <f t="shared" si="0"/>
        <v>0</v>
      </c>
      <c r="E5" s="47">
        <f>COUNTIF(Satislistesi!D3:D49,"&gt;0")-D5</f>
        <v>31</v>
      </c>
      <c r="F5" s="47"/>
      <c r="G5" t="s">
        <v>140</v>
      </c>
      <c r="H5" s="41">
        <f>Satislistesi!O50</f>
        <v>13130</v>
      </c>
      <c r="K5" s="14"/>
      <c r="L5" s="41"/>
    </row>
    <row r="6" spans="1:12">
      <c r="A6" s="46" t="s">
        <v>4</v>
      </c>
      <c r="B6" s="46">
        <v>12</v>
      </c>
      <c r="C6" s="47">
        <v>0</v>
      </c>
      <c r="D6" s="47">
        <f t="shared" si="0"/>
        <v>12</v>
      </c>
      <c r="E6" s="47">
        <f>COUNTIF(Satislistesi!E3:E49,"&gt;0")-D6</f>
        <v>13</v>
      </c>
      <c r="F6" s="47"/>
      <c r="G6" t="s">
        <v>141</v>
      </c>
      <c r="H6" s="41">
        <f>Satislistesi!M50</f>
        <v>-300</v>
      </c>
      <c r="K6" s="14"/>
      <c r="L6" s="41"/>
    </row>
    <row r="7" spans="1:12">
      <c r="A7" s="46" t="s">
        <v>119</v>
      </c>
      <c r="B7" s="46">
        <v>12</v>
      </c>
      <c r="C7" s="47">
        <v>0</v>
      </c>
      <c r="D7" s="47">
        <f t="shared" si="0"/>
        <v>12</v>
      </c>
      <c r="E7" s="47">
        <f>COUNTIF(Satislistesi!F3:F49,"&gt;0")-D7</f>
        <v>7</v>
      </c>
      <c r="F7" s="47"/>
      <c r="G7" s="72" t="s">
        <v>142</v>
      </c>
      <c r="H7" s="73">
        <f>H5+H6</f>
        <v>12830</v>
      </c>
      <c r="J7" s="40"/>
      <c r="K7" s="40"/>
      <c r="L7" s="40"/>
    </row>
    <row r="8" spans="1:12">
      <c r="A8" s="46" t="s">
        <v>124</v>
      </c>
      <c r="B8" s="46">
        <v>0</v>
      </c>
      <c r="C8" s="47">
        <v>0</v>
      </c>
      <c r="D8" s="47">
        <f t="shared" si="0"/>
        <v>0</v>
      </c>
      <c r="E8" s="47">
        <f>COUNTIF(Satislistesi!G3:G49,"&gt;0")-D8</f>
        <v>29</v>
      </c>
      <c r="F8" s="47"/>
    </row>
    <row r="9" spans="1:12">
      <c r="A9" s="46" t="s">
        <v>127</v>
      </c>
      <c r="B9" s="46">
        <v>12</v>
      </c>
      <c r="C9" s="47">
        <v>0</v>
      </c>
      <c r="D9" s="47">
        <f t="shared" si="0"/>
        <v>12</v>
      </c>
      <c r="E9" s="47">
        <f>COUNTIF(Satislistesi!H3:H49,"&gt;0")-D9</f>
        <v>21</v>
      </c>
      <c r="F9" s="47"/>
    </row>
    <row r="10" spans="1:12">
      <c r="A10" s="46" t="s">
        <v>128</v>
      </c>
      <c r="B10" s="46">
        <v>0</v>
      </c>
      <c r="C10" s="47">
        <v>0</v>
      </c>
      <c r="D10" s="47">
        <f t="shared" si="0"/>
        <v>0</v>
      </c>
      <c r="E10" s="47">
        <f>COUNTIF(Satislistesi!I3:I49,"&gt;0")-D10</f>
        <v>6</v>
      </c>
      <c r="F10" s="47"/>
    </row>
    <row r="11" spans="1:12">
      <c r="A11" s="46" t="s">
        <v>5</v>
      </c>
      <c r="B11" s="46">
        <v>12</v>
      </c>
      <c r="C11" s="47">
        <v>0</v>
      </c>
      <c r="D11" s="47">
        <f t="shared" si="0"/>
        <v>12</v>
      </c>
      <c r="E11" s="47">
        <f>COUNTIF(Satislistesi!J3:J49,"&gt;0")-D11</f>
        <v>16</v>
      </c>
      <c r="F11" s="47"/>
    </row>
    <row r="12" spans="1:12">
      <c r="A12" s="46" t="s">
        <v>129</v>
      </c>
      <c r="B12" s="46">
        <v>12</v>
      </c>
      <c r="C12" s="47">
        <v>0</v>
      </c>
      <c r="D12" s="47">
        <f t="shared" si="0"/>
        <v>12</v>
      </c>
      <c r="E12" s="47">
        <f>COUNTIF(Satislistesi!K3:K49,"&gt;0")-D12</f>
        <v>15</v>
      </c>
      <c r="F12" s="47"/>
    </row>
    <row r="13" spans="1:12">
      <c r="A13" s="50" t="s">
        <v>6</v>
      </c>
      <c r="B13" s="50">
        <v>0</v>
      </c>
      <c r="C13" s="51">
        <v>0</v>
      </c>
      <c r="D13" s="51">
        <f t="shared" si="0"/>
        <v>0</v>
      </c>
      <c r="E13" s="51">
        <f>COUNTIF(Satislistesi!L3:L49,"&gt;0")-D13</f>
        <v>1</v>
      </c>
      <c r="F13" s="47"/>
    </row>
    <row r="14" spans="1:12">
      <c r="A14" s="64" t="s">
        <v>143</v>
      </c>
      <c r="B14" s="64">
        <f>SUM(B4:B13)</f>
        <v>72</v>
      </c>
      <c r="C14" s="65">
        <f>SUM(C4:C13)</f>
        <v>0</v>
      </c>
      <c r="D14" s="65">
        <f>SUM(D4:D13)</f>
        <v>72</v>
      </c>
      <c r="E14" s="65">
        <f>SUM(E4:E13)</f>
        <v>165</v>
      </c>
      <c r="F14" s="47"/>
    </row>
    <row r="15" spans="1:12">
      <c r="A15" s="57"/>
      <c r="B15" s="57"/>
      <c r="C15" s="58"/>
      <c r="D15" s="58"/>
      <c r="E15" s="58"/>
      <c r="F15" s="58"/>
    </row>
    <row r="16" spans="1:12">
      <c r="A16" s="46"/>
      <c r="B16" s="46"/>
      <c r="C16" s="47"/>
      <c r="D16" s="47"/>
      <c r="E16" s="47"/>
      <c r="F16" s="47"/>
    </row>
    <row r="17" spans="1:6">
      <c r="A17" s="46"/>
      <c r="B17" s="46"/>
      <c r="C17" s="47"/>
      <c r="D17" s="47"/>
      <c r="E17" s="47"/>
      <c r="F17" s="47"/>
    </row>
    <row r="18" spans="1:6">
      <c r="A18" s="82" t="s">
        <v>144</v>
      </c>
      <c r="B18" s="82"/>
      <c r="C18" s="83"/>
      <c r="D18" s="83"/>
      <c r="E18" s="83"/>
      <c r="F18" s="83"/>
    </row>
    <row r="19" spans="1:6">
      <c r="A19" s="54" t="s">
        <v>145</v>
      </c>
      <c r="B19" s="54" t="s">
        <v>146</v>
      </c>
      <c r="C19" s="55" t="s">
        <v>147</v>
      </c>
      <c r="D19" s="55" t="s">
        <v>148</v>
      </c>
      <c r="E19" s="55" t="s">
        <v>149</v>
      </c>
      <c r="F19" s="55" t="s">
        <v>150</v>
      </c>
    </row>
    <row r="20" spans="1:6" ht="131.15">
      <c r="A20" s="46" t="s">
        <v>7</v>
      </c>
      <c r="B20" s="46" t="s">
        <v>151</v>
      </c>
      <c r="C20" s="47">
        <v>590</v>
      </c>
      <c r="D20" s="47">
        <v>0</v>
      </c>
      <c r="E20" s="47">
        <v>0</v>
      </c>
      <c r="F20" s="47">
        <v>590</v>
      </c>
    </row>
    <row r="21" spans="1:6" ht="87.45">
      <c r="A21" s="46" t="s">
        <v>8</v>
      </c>
      <c r="B21" s="46" t="s">
        <v>152</v>
      </c>
      <c r="C21" s="47">
        <v>420</v>
      </c>
      <c r="D21" s="47">
        <v>0</v>
      </c>
      <c r="E21" s="47">
        <v>0</v>
      </c>
      <c r="F21" s="47">
        <v>420</v>
      </c>
    </row>
    <row r="22" spans="1:6" ht="87.45">
      <c r="A22" s="46" t="s">
        <v>9</v>
      </c>
      <c r="B22" s="46" t="s">
        <v>152</v>
      </c>
      <c r="C22" s="47">
        <v>420</v>
      </c>
      <c r="D22" s="47">
        <v>0</v>
      </c>
      <c r="E22" s="47">
        <v>0</v>
      </c>
      <c r="F22" s="47">
        <v>420</v>
      </c>
    </row>
    <row r="23" spans="1:6" ht="72.900000000000006">
      <c r="A23" s="46" t="s">
        <v>10</v>
      </c>
      <c r="B23" s="46" t="s">
        <v>153</v>
      </c>
      <c r="C23" s="47">
        <v>240</v>
      </c>
      <c r="D23" s="47">
        <v>0</v>
      </c>
      <c r="E23" s="47">
        <v>0</v>
      </c>
      <c r="F23" s="47">
        <v>240</v>
      </c>
    </row>
    <row r="24" spans="1:6" ht="72.900000000000006">
      <c r="A24" s="46" t="s">
        <v>11</v>
      </c>
      <c r="B24" s="46" t="s">
        <v>153</v>
      </c>
      <c r="C24" s="47">
        <v>240</v>
      </c>
      <c r="D24" s="47">
        <v>0</v>
      </c>
      <c r="E24" s="47">
        <v>0</v>
      </c>
      <c r="F24" s="47">
        <v>240</v>
      </c>
    </row>
    <row r="25" spans="1:6" ht="72.900000000000006">
      <c r="A25" s="46" t="s">
        <v>13</v>
      </c>
      <c r="B25" s="46" t="s">
        <v>153</v>
      </c>
      <c r="C25" s="47">
        <v>240</v>
      </c>
      <c r="D25" s="47">
        <v>0</v>
      </c>
      <c r="E25" s="47">
        <v>0</v>
      </c>
      <c r="F25" s="47">
        <v>240</v>
      </c>
    </row>
    <row r="26" spans="1:6" ht="43.75">
      <c r="A26" s="46" t="s">
        <v>14</v>
      </c>
      <c r="B26" s="46" t="s">
        <v>154</v>
      </c>
      <c r="C26" s="47">
        <v>140</v>
      </c>
      <c r="D26" s="47">
        <v>0</v>
      </c>
      <c r="E26" s="47">
        <v>0</v>
      </c>
      <c r="F26" s="47">
        <v>140</v>
      </c>
    </row>
    <row r="27" spans="1:6" ht="72.900000000000006">
      <c r="A27" s="46" t="s">
        <v>15</v>
      </c>
      <c r="B27" s="46" t="s">
        <v>153</v>
      </c>
      <c r="C27" s="47">
        <v>240</v>
      </c>
      <c r="D27" s="47">
        <v>0</v>
      </c>
      <c r="E27" s="47">
        <v>0</v>
      </c>
      <c r="F27" s="47">
        <v>240</v>
      </c>
    </row>
    <row r="28" spans="1:6" ht="72.900000000000006">
      <c r="A28" s="46" t="s">
        <v>16</v>
      </c>
      <c r="B28" s="46" t="s">
        <v>153</v>
      </c>
      <c r="C28" s="47">
        <v>240</v>
      </c>
      <c r="D28" s="47">
        <v>0</v>
      </c>
      <c r="E28" s="47">
        <v>0</v>
      </c>
      <c r="F28" s="47">
        <v>240</v>
      </c>
    </row>
    <row r="29" spans="1:6" ht="58.3">
      <c r="A29" s="46" t="s">
        <v>17</v>
      </c>
      <c r="B29" s="46" t="s">
        <v>155</v>
      </c>
      <c r="C29" s="47">
        <v>200</v>
      </c>
      <c r="D29" s="47">
        <v>0</v>
      </c>
      <c r="E29" s="47">
        <v>0</v>
      </c>
      <c r="F29" s="47">
        <v>200</v>
      </c>
    </row>
    <row r="30" spans="1:6" ht="58.3">
      <c r="A30" s="46" t="s">
        <v>18</v>
      </c>
      <c r="B30" s="46" t="s">
        <v>155</v>
      </c>
      <c r="C30" s="47">
        <v>200</v>
      </c>
      <c r="D30" s="47">
        <v>0</v>
      </c>
      <c r="E30" s="47">
        <v>0</v>
      </c>
      <c r="F30" s="47">
        <v>200</v>
      </c>
    </row>
    <row r="31" spans="1:6">
      <c r="A31" s="46" t="s">
        <v>19</v>
      </c>
      <c r="B31" s="46" t="s">
        <v>156</v>
      </c>
      <c r="C31" s="47">
        <v>0</v>
      </c>
      <c r="D31" s="47">
        <v>0</v>
      </c>
      <c r="E31" s="47">
        <v>0</v>
      </c>
      <c r="F31" s="47">
        <v>0</v>
      </c>
    </row>
    <row r="32" spans="1:6" ht="29.15">
      <c r="A32" s="46" t="s">
        <v>20</v>
      </c>
      <c r="B32" s="46" t="s">
        <v>157</v>
      </c>
      <c r="C32" s="47">
        <v>80</v>
      </c>
      <c r="D32" s="47">
        <v>0</v>
      </c>
      <c r="E32" s="47">
        <v>0</v>
      </c>
      <c r="F32" s="47">
        <v>80</v>
      </c>
    </row>
    <row r="33" spans="1:6" ht="29.15">
      <c r="A33" s="46" t="s">
        <v>21</v>
      </c>
      <c r="B33" s="46" t="s">
        <v>157</v>
      </c>
      <c r="C33" s="47">
        <v>80</v>
      </c>
      <c r="D33" s="47">
        <v>0</v>
      </c>
      <c r="E33" s="47">
        <v>0</v>
      </c>
      <c r="F33" s="47">
        <v>80</v>
      </c>
    </row>
    <row r="34" spans="1:6">
      <c r="A34" s="46" t="s">
        <v>22</v>
      </c>
      <c r="B34" s="46" t="s">
        <v>158</v>
      </c>
      <c r="C34" s="47">
        <v>40</v>
      </c>
      <c r="D34" s="47">
        <v>0</v>
      </c>
      <c r="E34" s="47">
        <v>0</v>
      </c>
      <c r="F34" s="47">
        <v>40</v>
      </c>
    </row>
    <row r="35" spans="1:6" ht="58.3">
      <c r="A35" s="46" t="s">
        <v>23</v>
      </c>
      <c r="B35" s="46" t="s">
        <v>159</v>
      </c>
      <c r="C35" s="47">
        <v>190</v>
      </c>
      <c r="D35" s="47">
        <v>0</v>
      </c>
      <c r="E35" s="47">
        <v>0</v>
      </c>
      <c r="F35" s="47">
        <v>190</v>
      </c>
    </row>
    <row r="36" spans="1:6" ht="58.3">
      <c r="A36" s="46" t="s">
        <v>24</v>
      </c>
      <c r="B36" s="46" t="s">
        <v>159</v>
      </c>
      <c r="C36" s="47">
        <v>190</v>
      </c>
      <c r="D36" s="47">
        <v>0</v>
      </c>
      <c r="E36" s="47">
        <v>0</v>
      </c>
      <c r="F36" s="47">
        <v>190</v>
      </c>
    </row>
    <row r="37" spans="1:6">
      <c r="A37" s="46" t="s">
        <v>25</v>
      </c>
      <c r="B37" s="46" t="s">
        <v>156</v>
      </c>
      <c r="C37" s="47">
        <v>0</v>
      </c>
      <c r="D37" s="47">
        <v>0</v>
      </c>
      <c r="E37" s="47">
        <v>0</v>
      </c>
      <c r="F37" s="47">
        <v>0</v>
      </c>
    </row>
    <row r="38" spans="1:6" ht="72.900000000000006">
      <c r="A38" s="46" t="s">
        <v>26</v>
      </c>
      <c r="B38" s="46" t="s">
        <v>160</v>
      </c>
      <c r="C38" s="47">
        <v>290</v>
      </c>
      <c r="D38" s="47">
        <v>0</v>
      </c>
      <c r="E38" s="47">
        <v>0</v>
      </c>
      <c r="F38" s="47">
        <v>290</v>
      </c>
    </row>
    <row r="39" spans="1:6" ht="72.900000000000006">
      <c r="A39" s="46" t="s">
        <v>27</v>
      </c>
      <c r="B39" s="46" t="s">
        <v>160</v>
      </c>
      <c r="C39" s="47">
        <v>290</v>
      </c>
      <c r="D39" s="47">
        <v>0</v>
      </c>
      <c r="E39" s="47">
        <v>0</v>
      </c>
      <c r="F39" s="47">
        <v>290</v>
      </c>
    </row>
    <row r="40" spans="1:6" ht="72.900000000000006">
      <c r="A40" s="46" t="s">
        <v>28</v>
      </c>
      <c r="B40" s="46" t="s">
        <v>160</v>
      </c>
      <c r="C40" s="47">
        <v>290</v>
      </c>
      <c r="D40" s="47">
        <v>0</v>
      </c>
      <c r="E40" s="47">
        <v>0</v>
      </c>
      <c r="F40" s="47">
        <v>290</v>
      </c>
    </row>
    <row r="41" spans="1:6" ht="102">
      <c r="A41" s="46" t="s">
        <v>29</v>
      </c>
      <c r="B41" s="46" t="s">
        <v>161</v>
      </c>
      <c r="C41" s="47">
        <v>355</v>
      </c>
      <c r="D41" s="47">
        <v>0</v>
      </c>
      <c r="E41" s="47">
        <v>0</v>
      </c>
      <c r="F41" s="47">
        <v>355</v>
      </c>
    </row>
    <row r="42" spans="1:6" ht="102">
      <c r="A42" s="46" t="s">
        <v>30</v>
      </c>
      <c r="B42" s="46" t="s">
        <v>161</v>
      </c>
      <c r="C42" s="47">
        <v>355</v>
      </c>
      <c r="D42" s="47">
        <v>0</v>
      </c>
      <c r="E42" s="47">
        <v>0</v>
      </c>
      <c r="F42" s="47">
        <v>355</v>
      </c>
    </row>
    <row r="43" spans="1:6" ht="58.3">
      <c r="A43" s="46" t="s">
        <v>31</v>
      </c>
      <c r="B43" s="46" t="s">
        <v>162</v>
      </c>
      <c r="C43" s="47">
        <v>250</v>
      </c>
      <c r="D43" s="47">
        <v>0</v>
      </c>
      <c r="E43" s="47">
        <v>0</v>
      </c>
      <c r="F43" s="47">
        <v>250</v>
      </c>
    </row>
    <row r="44" spans="1:6" ht="58.3">
      <c r="A44" s="46" t="s">
        <v>32</v>
      </c>
      <c r="B44" s="46" t="s">
        <v>162</v>
      </c>
      <c r="C44" s="47">
        <v>250</v>
      </c>
      <c r="D44" s="47">
        <v>0</v>
      </c>
      <c r="E44" s="47">
        <v>0</v>
      </c>
      <c r="F44" s="47">
        <v>250</v>
      </c>
    </row>
    <row r="45" spans="1:6" ht="29.15">
      <c r="A45" s="46" t="s">
        <v>33</v>
      </c>
      <c r="B45" s="46" t="s">
        <v>163</v>
      </c>
      <c r="C45" s="47">
        <v>150</v>
      </c>
      <c r="D45" s="47">
        <v>0</v>
      </c>
      <c r="E45" s="47">
        <v>-10</v>
      </c>
      <c r="F45" s="47">
        <v>140</v>
      </c>
    </row>
    <row r="46" spans="1:6">
      <c r="A46" s="46" t="s">
        <v>34</v>
      </c>
      <c r="B46" s="46" t="s">
        <v>164</v>
      </c>
      <c r="C46" s="47">
        <v>50</v>
      </c>
      <c r="D46" s="47">
        <v>0</v>
      </c>
      <c r="E46" s="47">
        <v>-10</v>
      </c>
      <c r="F46" s="47">
        <v>40</v>
      </c>
    </row>
    <row r="47" spans="1:6" ht="58.3">
      <c r="A47" s="46" t="s">
        <v>35</v>
      </c>
      <c r="B47" s="46" t="s">
        <v>165</v>
      </c>
      <c r="C47" s="47">
        <v>230</v>
      </c>
      <c r="D47" s="47">
        <v>0</v>
      </c>
      <c r="E47" s="47">
        <v>0</v>
      </c>
      <c r="F47" s="47">
        <v>230</v>
      </c>
    </row>
    <row r="48" spans="1:6" ht="58.3">
      <c r="A48" s="46" t="s">
        <v>36</v>
      </c>
      <c r="B48" s="46" t="s">
        <v>165</v>
      </c>
      <c r="C48" s="47">
        <v>230</v>
      </c>
      <c r="D48" s="47">
        <v>0</v>
      </c>
      <c r="E48" s="47">
        <v>0</v>
      </c>
      <c r="F48" s="47">
        <v>230</v>
      </c>
    </row>
    <row r="49" spans="1:6">
      <c r="A49" s="46" t="s">
        <v>37</v>
      </c>
      <c r="B49" s="46" t="s">
        <v>164</v>
      </c>
      <c r="C49" s="47">
        <v>50</v>
      </c>
      <c r="D49" s="47">
        <v>0</v>
      </c>
      <c r="E49" s="47">
        <v>0</v>
      </c>
      <c r="F49" s="47">
        <v>50</v>
      </c>
    </row>
    <row r="50" spans="1:6">
      <c r="A50" s="46" t="s">
        <v>38</v>
      </c>
      <c r="B50" s="46" t="s">
        <v>164</v>
      </c>
      <c r="C50" s="47">
        <v>50</v>
      </c>
      <c r="D50" s="47">
        <v>0</v>
      </c>
      <c r="E50" s="47">
        <v>-10</v>
      </c>
      <c r="F50" s="47">
        <v>40</v>
      </c>
    </row>
    <row r="51" spans="1:6" ht="102">
      <c r="A51" s="46" t="s">
        <v>39</v>
      </c>
      <c r="B51" s="46" t="s">
        <v>166</v>
      </c>
      <c r="C51" s="47">
        <v>395</v>
      </c>
      <c r="D51" s="47">
        <v>0</v>
      </c>
      <c r="E51" s="47">
        <v>0</v>
      </c>
      <c r="F51" s="47">
        <v>395</v>
      </c>
    </row>
    <row r="52" spans="1:6" ht="102">
      <c r="A52" s="46" t="s">
        <v>40</v>
      </c>
      <c r="B52" s="46" t="s">
        <v>166</v>
      </c>
      <c r="C52" s="47">
        <v>395</v>
      </c>
      <c r="D52" s="47">
        <v>0</v>
      </c>
      <c r="E52" s="47">
        <v>0</v>
      </c>
      <c r="F52" s="47">
        <v>395</v>
      </c>
    </row>
    <row r="53" spans="1:6" ht="102">
      <c r="A53" s="46" t="s">
        <v>41</v>
      </c>
      <c r="B53" s="46" t="s">
        <v>166</v>
      </c>
      <c r="C53" s="47">
        <v>395</v>
      </c>
      <c r="D53" s="47">
        <v>0</v>
      </c>
      <c r="E53" s="47">
        <v>0</v>
      </c>
      <c r="F53" s="47">
        <v>395</v>
      </c>
    </row>
    <row r="54" spans="1:6" ht="58.3">
      <c r="A54" s="46" t="s">
        <v>42</v>
      </c>
      <c r="B54" s="46" t="s">
        <v>167</v>
      </c>
      <c r="C54" s="47">
        <v>255</v>
      </c>
      <c r="D54" s="47">
        <v>0</v>
      </c>
      <c r="E54" s="47">
        <v>-20</v>
      </c>
      <c r="F54" s="47">
        <v>235</v>
      </c>
    </row>
    <row r="55" spans="1:6" ht="116.6">
      <c r="A55" s="46" t="s">
        <v>168</v>
      </c>
      <c r="B55" s="46" t="s">
        <v>169</v>
      </c>
      <c r="C55" s="47">
        <v>455</v>
      </c>
      <c r="D55" s="47">
        <v>-25</v>
      </c>
      <c r="E55" s="47">
        <v>0</v>
      </c>
      <c r="F55" s="47">
        <v>430</v>
      </c>
    </row>
    <row r="56" spans="1:6" ht="87.45">
      <c r="A56" s="46" t="s">
        <v>44</v>
      </c>
      <c r="B56" s="46" t="s">
        <v>170</v>
      </c>
      <c r="C56" s="47">
        <v>355</v>
      </c>
      <c r="D56" s="47">
        <v>-25</v>
      </c>
      <c r="E56" s="47">
        <v>0</v>
      </c>
      <c r="F56" s="47">
        <v>330</v>
      </c>
    </row>
    <row r="57" spans="1:6" ht="102">
      <c r="A57" s="46" t="s">
        <v>171</v>
      </c>
      <c r="B57" s="46" t="s">
        <v>172</v>
      </c>
      <c r="C57" s="47">
        <v>415</v>
      </c>
      <c r="D57" s="47">
        <v>-25</v>
      </c>
      <c r="E57" s="47">
        <v>0</v>
      </c>
      <c r="F57" s="47">
        <v>390</v>
      </c>
    </row>
    <row r="58" spans="1:6" ht="87.45">
      <c r="A58" s="46" t="s">
        <v>46</v>
      </c>
      <c r="B58" s="46" t="s">
        <v>173</v>
      </c>
      <c r="C58" s="47">
        <v>365</v>
      </c>
      <c r="D58" s="47">
        <v>-25</v>
      </c>
      <c r="E58" s="47">
        <v>0</v>
      </c>
      <c r="F58" s="47">
        <v>340</v>
      </c>
    </row>
    <row r="59" spans="1:6" ht="102">
      <c r="A59" s="46" t="s">
        <v>47</v>
      </c>
      <c r="B59" s="46" t="s">
        <v>174</v>
      </c>
      <c r="C59" s="47">
        <v>475</v>
      </c>
      <c r="D59" s="47">
        <v>-25</v>
      </c>
      <c r="E59" s="47">
        <v>0</v>
      </c>
      <c r="F59" s="47">
        <v>450</v>
      </c>
    </row>
    <row r="60" spans="1:6" ht="102">
      <c r="A60" s="46" t="s">
        <v>48</v>
      </c>
      <c r="B60" s="46" t="s">
        <v>174</v>
      </c>
      <c r="C60" s="47">
        <v>475</v>
      </c>
      <c r="D60" s="47">
        <v>-25</v>
      </c>
      <c r="E60" s="47">
        <v>0</v>
      </c>
      <c r="F60" s="47">
        <v>450</v>
      </c>
    </row>
    <row r="61" spans="1:6" ht="116.6">
      <c r="A61" s="46" t="s">
        <v>175</v>
      </c>
      <c r="B61" s="46" t="s">
        <v>169</v>
      </c>
      <c r="C61" s="47">
        <v>455</v>
      </c>
      <c r="D61" s="47">
        <v>-25</v>
      </c>
      <c r="E61" s="47">
        <v>0</v>
      </c>
      <c r="F61" s="47">
        <v>430</v>
      </c>
    </row>
    <row r="62" spans="1:6" ht="116.6">
      <c r="A62" s="46" t="s">
        <v>176</v>
      </c>
      <c r="B62" s="46" t="s">
        <v>169</v>
      </c>
      <c r="C62" s="47">
        <v>455</v>
      </c>
      <c r="D62" s="47">
        <v>-25</v>
      </c>
      <c r="E62" s="47">
        <v>0</v>
      </c>
      <c r="F62" s="47">
        <v>430</v>
      </c>
    </row>
    <row r="63" spans="1:6" ht="102">
      <c r="A63" s="46" t="s">
        <v>177</v>
      </c>
      <c r="B63" s="46" t="s">
        <v>172</v>
      </c>
      <c r="C63" s="47">
        <v>415</v>
      </c>
      <c r="D63" s="47">
        <v>-25</v>
      </c>
      <c r="E63" s="47">
        <v>0</v>
      </c>
      <c r="F63" s="47">
        <v>390</v>
      </c>
    </row>
    <row r="64" spans="1:6" ht="102">
      <c r="A64" s="46" t="s">
        <v>178</v>
      </c>
      <c r="B64" s="46" t="s">
        <v>172</v>
      </c>
      <c r="C64" s="47">
        <v>415</v>
      </c>
      <c r="D64" s="47">
        <v>-25</v>
      </c>
      <c r="E64" s="47">
        <v>0</v>
      </c>
      <c r="F64" s="47">
        <v>390</v>
      </c>
    </row>
    <row r="65" spans="1:6" ht="102">
      <c r="A65" s="46" t="s">
        <v>179</v>
      </c>
      <c r="B65" s="46" t="s">
        <v>172</v>
      </c>
      <c r="C65" s="47">
        <v>415</v>
      </c>
      <c r="D65" s="47">
        <v>-25</v>
      </c>
      <c r="E65" s="47">
        <v>-70</v>
      </c>
      <c r="F65" s="47">
        <v>320</v>
      </c>
    </row>
    <row r="66" spans="1:6" ht="116.6">
      <c r="A66" s="46" t="s">
        <v>54</v>
      </c>
      <c r="B66" s="46" t="s">
        <v>180</v>
      </c>
      <c r="C66" s="47">
        <v>525</v>
      </c>
      <c r="D66" s="47">
        <v>-25</v>
      </c>
      <c r="E66" s="47">
        <v>0</v>
      </c>
      <c r="F66" s="47">
        <v>500</v>
      </c>
    </row>
    <row r="67" spans="1:6">
      <c r="A67" s="57" t="s">
        <v>143</v>
      </c>
      <c r="B67" s="57"/>
      <c r="C67" s="58">
        <f>SUM(C20:C66)</f>
        <v>13250</v>
      </c>
      <c r="D67" s="58">
        <f>SUM(D20:D66)</f>
        <v>-300</v>
      </c>
      <c r="E67" s="58">
        <f>SUM(E20:E66)</f>
        <v>-120</v>
      </c>
      <c r="F67" s="58">
        <f>SUM(F20:F66)</f>
        <v>12830</v>
      </c>
    </row>
  </sheetData>
  <mergeCells count="6">
    <mergeCell ref="A1:E1"/>
    <mergeCell ref="G1:H1"/>
    <mergeCell ref="J1:L1"/>
    <mergeCell ref="A3:F3"/>
    <mergeCell ref="A18:F18"/>
    <mergeCell ref="G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topLeftCell="A13" workbookViewId="0">
      <selection sqref="A1:F1"/>
    </sheetView>
  </sheetViews>
  <sheetFormatPr defaultRowHeight="14.6"/>
  <cols>
    <col min="1" max="1" width="31" customWidth="1"/>
    <col min="2" max="2" width="34" customWidth="1"/>
    <col min="3" max="3" width="17" customWidth="1"/>
    <col min="4" max="4" width="12" customWidth="1"/>
    <col min="5" max="5" width="14" customWidth="1"/>
    <col min="6" max="6" width="42" customWidth="1"/>
  </cols>
  <sheetData>
    <row r="1" spans="1:6">
      <c r="A1" s="79" t="s">
        <v>181</v>
      </c>
      <c r="B1" s="79"/>
      <c r="C1" s="79"/>
      <c r="D1" s="79"/>
      <c r="E1" s="79"/>
      <c r="F1" s="79"/>
    </row>
    <row r="2" spans="1:6">
      <c r="A2" s="39"/>
      <c r="B2" s="39"/>
      <c r="C2" s="39"/>
      <c r="D2" s="39"/>
      <c r="E2" s="39"/>
      <c r="F2" s="39"/>
    </row>
    <row r="3" spans="1:6">
      <c r="A3" s="63" t="s">
        <v>182</v>
      </c>
      <c r="B3" s="63" t="s">
        <v>183</v>
      </c>
      <c r="C3" s="71" t="s">
        <v>184</v>
      </c>
      <c r="D3" s="63" t="s">
        <v>185</v>
      </c>
      <c r="E3" s="71" t="s">
        <v>186</v>
      </c>
      <c r="F3" s="63" t="s">
        <v>101</v>
      </c>
    </row>
    <row r="4" spans="1:6">
      <c r="A4" s="46" t="s">
        <v>187</v>
      </c>
      <c r="B4" s="46" t="s">
        <v>188</v>
      </c>
      <c r="C4" s="47">
        <f>SUM(Satislistesi!C50:L50)</f>
        <v>13250</v>
      </c>
      <c r="D4" s="46"/>
      <c r="E4" s="47"/>
      <c r="F4" s="46" t="s">
        <v>189</v>
      </c>
    </row>
    <row r="5" spans="1:6">
      <c r="A5" s="46" t="s">
        <v>190</v>
      </c>
      <c r="B5" s="46" t="s">
        <v>191</v>
      </c>
      <c r="C5" s="47">
        <f>Satislistesi!M50</f>
        <v>-300</v>
      </c>
      <c r="D5" s="46">
        <v>12</v>
      </c>
      <c r="E5" s="47">
        <v>25</v>
      </c>
      <c r="F5" s="46" t="s">
        <v>192</v>
      </c>
    </row>
    <row r="6" spans="1:6">
      <c r="A6" s="46" t="s">
        <v>193</v>
      </c>
      <c r="B6" s="46" t="s">
        <v>194</v>
      </c>
      <c r="C6" s="47">
        <f>Satislistesi!N50</f>
        <v>-120</v>
      </c>
      <c r="D6" s="46">
        <v>12</v>
      </c>
      <c r="E6" s="47">
        <v>10</v>
      </c>
      <c r="F6" s="46" t="s">
        <v>195</v>
      </c>
    </row>
    <row r="7" spans="1:6">
      <c r="A7" s="46" t="s">
        <v>196</v>
      </c>
      <c r="B7" s="46" t="s">
        <v>197</v>
      </c>
      <c r="C7" s="47">
        <f>Satislistesi!O50+Satislistesi!M50</f>
        <v>12830</v>
      </c>
      <c r="D7" s="46"/>
      <c r="E7" s="47"/>
      <c r="F7" s="46"/>
    </row>
    <row r="8" spans="1:6">
      <c r="A8" s="46" t="s">
        <v>198</v>
      </c>
      <c r="B8" s="46" t="s">
        <v>199</v>
      </c>
      <c r="C8" s="47">
        <v>-4080</v>
      </c>
      <c r="D8" s="46">
        <v>12</v>
      </c>
      <c r="E8" s="47">
        <v>340</v>
      </c>
      <c r="F8" s="46" t="s">
        <v>200</v>
      </c>
    </row>
    <row r="9" spans="1:6">
      <c r="A9" s="46" t="s">
        <v>201</v>
      </c>
      <c r="B9" s="46" t="s">
        <v>202</v>
      </c>
      <c r="C9" s="47">
        <f>-Harcamalar!I16</f>
        <v>-1372</v>
      </c>
      <c r="D9" s="46"/>
      <c r="E9" s="47"/>
      <c r="F9" s="46" t="s">
        <v>203</v>
      </c>
    </row>
    <row r="10" spans="1:6">
      <c r="A10" s="46" t="s">
        <v>204</v>
      </c>
      <c r="B10" s="46" t="s">
        <v>205</v>
      </c>
      <c r="C10" s="47">
        <v>-375</v>
      </c>
      <c r="D10" s="46"/>
      <c r="E10" s="47"/>
      <c r="F10" s="46"/>
    </row>
    <row r="11" spans="1:6">
      <c r="A11" s="46" t="s">
        <v>206</v>
      </c>
      <c r="B11" s="46" t="s">
        <v>205</v>
      </c>
      <c r="C11" s="47">
        <v>-750</v>
      </c>
      <c r="D11" s="46"/>
      <c r="E11" s="47"/>
      <c r="F11" s="46"/>
    </row>
    <row r="12" spans="1:6">
      <c r="A12" s="64" t="s">
        <v>207</v>
      </c>
      <c r="B12" s="64"/>
      <c r="C12" s="65">
        <f>C7+SUM(C8:C11)</f>
        <v>6253</v>
      </c>
      <c r="D12" s="64"/>
      <c r="E12" s="65"/>
      <c r="F12" s="64"/>
    </row>
    <row r="13" spans="1:6">
      <c r="A13" s="50"/>
      <c r="B13" s="50"/>
      <c r="C13" s="51"/>
      <c r="D13" s="50"/>
      <c r="E13" s="51"/>
      <c r="F13" s="50"/>
    </row>
    <row r="14" spans="1:6">
      <c r="A14" s="46"/>
      <c r="B14" s="46"/>
      <c r="C14" s="47"/>
      <c r="D14" s="46"/>
      <c r="E14" s="47"/>
      <c r="F14" s="46"/>
    </row>
    <row r="15" spans="1:6">
      <c r="A15" s="87" t="s">
        <v>208</v>
      </c>
      <c r="B15" s="87"/>
      <c r="C15" s="88"/>
      <c r="D15" s="87"/>
      <c r="E15" s="88"/>
      <c r="F15" s="87"/>
    </row>
    <row r="16" spans="1:6">
      <c r="A16" s="85" t="s">
        <v>131</v>
      </c>
      <c r="B16" s="85"/>
      <c r="C16" s="86">
        <v>1442</v>
      </c>
      <c r="D16" s="85"/>
      <c r="E16" s="86"/>
      <c r="F16" s="85"/>
    </row>
    <row r="17" spans="1:6">
      <c r="A17" s="46" t="s">
        <v>209</v>
      </c>
      <c r="B17" s="46"/>
      <c r="C17" s="47">
        <f>Harcamalar!I16</f>
        <v>1372</v>
      </c>
      <c r="D17" s="46"/>
      <c r="E17" s="47"/>
      <c r="F17" s="46"/>
    </row>
    <row r="18" spans="1:6">
      <c r="A18" s="48" t="s">
        <v>210</v>
      </c>
      <c r="B18" s="48"/>
      <c r="C18" s="49">
        <f>C16-C17</f>
        <v>70</v>
      </c>
      <c r="D18" s="48"/>
      <c r="E18" s="49"/>
      <c r="F18" s="48"/>
    </row>
    <row r="19" spans="1:6">
      <c r="A19" s="46"/>
      <c r="B19" s="46"/>
      <c r="C19" s="47"/>
      <c r="D19" s="46"/>
      <c r="E19" s="47"/>
      <c r="F19" s="46"/>
    </row>
    <row r="20" spans="1:6">
      <c r="A20" s="46"/>
      <c r="B20" s="46"/>
      <c r="C20" s="52"/>
      <c r="D20" s="46"/>
      <c r="E20" s="47"/>
      <c r="F20" s="46"/>
    </row>
    <row r="21" spans="1:6">
      <c r="A21" s="46"/>
      <c r="B21" s="46"/>
      <c r="C21" s="52"/>
      <c r="D21" s="46"/>
      <c r="E21" s="47"/>
      <c r="F21" s="46"/>
    </row>
    <row r="22" spans="1:6">
      <c r="A22" s="46"/>
      <c r="B22" s="46"/>
      <c r="C22" s="52"/>
      <c r="D22" s="46"/>
      <c r="E22" s="47"/>
      <c r="F22" s="46"/>
    </row>
    <row r="23" spans="1:6">
      <c r="A23" s="46"/>
      <c r="B23" s="46"/>
      <c r="C23" s="52"/>
      <c r="D23" s="46"/>
      <c r="E23" s="47"/>
      <c r="F23" s="46"/>
    </row>
    <row r="24" spans="1:6">
      <c r="A24" s="50"/>
      <c r="B24" s="50"/>
      <c r="C24" s="53"/>
      <c r="D24" s="50"/>
      <c r="E24" s="51"/>
      <c r="F24" s="50"/>
    </row>
    <row r="25" spans="1:6">
      <c r="A25" s="46"/>
      <c r="B25" s="46"/>
      <c r="C25" s="47"/>
      <c r="D25" s="46"/>
      <c r="E25" s="47"/>
      <c r="F25" s="46"/>
    </row>
    <row r="26" spans="1:6">
      <c r="A26" s="48"/>
      <c r="B26" s="48"/>
      <c r="C26" s="49"/>
      <c r="D26" s="48"/>
      <c r="E26" s="49"/>
      <c r="F26" s="48"/>
    </row>
    <row r="27" spans="1:6">
      <c r="A27" s="46"/>
      <c r="B27" s="46"/>
      <c r="C27" s="47"/>
      <c r="D27" s="46"/>
      <c r="E27" s="47"/>
      <c r="F27" s="46"/>
    </row>
    <row r="28" spans="1:6">
      <c r="A28" s="46"/>
      <c r="B28" s="46"/>
      <c r="C28" s="47"/>
      <c r="D28" s="46"/>
      <c r="E28" s="47"/>
      <c r="F28" s="46"/>
    </row>
    <row r="29" spans="1:6">
      <c r="A29" s="46"/>
      <c r="B29" s="46"/>
      <c r="C29" s="52"/>
      <c r="D29" s="46"/>
      <c r="E29" s="47"/>
      <c r="F29" s="46"/>
    </row>
  </sheetData>
  <mergeCells count="3">
    <mergeCell ref="A1:F1"/>
    <mergeCell ref="A16:F16"/>
    <mergeCell ref="A15:F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0"/>
  <sheetViews>
    <sheetView workbookViewId="0">
      <selection sqref="A1:O1"/>
    </sheetView>
  </sheetViews>
  <sheetFormatPr defaultRowHeight="14.6"/>
  <cols>
    <col min="1" max="1" width="26" customWidth="1"/>
    <col min="2" max="2" width="9" customWidth="1"/>
    <col min="3" max="14" width="15" customWidth="1"/>
    <col min="15" max="15" width="14" customWidth="1"/>
  </cols>
  <sheetData>
    <row r="1" spans="1:15" ht="14.9" customHeight="1">
      <c r="A1" s="78" t="s">
        <v>211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</row>
    <row r="2" spans="1:15">
      <c r="A2" s="45" t="s">
        <v>145</v>
      </c>
      <c r="B2" s="45" t="s">
        <v>212</v>
      </c>
      <c r="C2" s="45" t="s">
        <v>213</v>
      </c>
      <c r="D2" s="45" t="s">
        <v>164</v>
      </c>
      <c r="E2" s="45" t="s">
        <v>214</v>
      </c>
      <c r="F2" s="45" t="s">
        <v>215</v>
      </c>
      <c r="G2" s="45" t="s">
        <v>158</v>
      </c>
      <c r="H2" s="45" t="s">
        <v>216</v>
      </c>
      <c r="I2" s="45" t="s">
        <v>217</v>
      </c>
      <c r="J2" s="45" t="s">
        <v>218</v>
      </c>
      <c r="K2" s="45" t="s">
        <v>219</v>
      </c>
      <c r="L2" s="45" t="s">
        <v>220</v>
      </c>
      <c r="M2" s="45" t="s">
        <v>221</v>
      </c>
      <c r="N2" s="45" t="s">
        <v>222</v>
      </c>
      <c r="O2" s="45" t="s">
        <v>223</v>
      </c>
    </row>
    <row r="3" spans="1:15">
      <c r="A3" t="str">
        <f>ExcusionSales!A4</f>
        <v>AYSUNUYGUN</v>
      </c>
      <c r="B3" t="b">
        <f>ExcusionSales!N4</f>
        <v>0</v>
      </c>
      <c r="C3" s="41">
        <f>IF(ExcusionSales!B4,40,0)</f>
        <v>40</v>
      </c>
      <c r="D3" s="41">
        <f>IF(ExcusionSales!C4,50,0)</f>
        <v>50</v>
      </c>
      <c r="E3" s="41">
        <f>IF(ExcusionSales!D4,60,0)</f>
        <v>60</v>
      </c>
      <c r="F3" s="41">
        <f>IF(ExcusionSales!E4,65,0)</f>
        <v>65</v>
      </c>
      <c r="G3" s="41">
        <f>IF(ExcusionSales!F4,40,0)</f>
        <v>40</v>
      </c>
      <c r="H3" s="41">
        <f>IF(ExcusionSales!G4,60,0)</f>
        <v>60</v>
      </c>
      <c r="I3" s="41">
        <f>IF(ExcusionSales!H4,70,0)</f>
        <v>70</v>
      </c>
      <c r="J3" s="41">
        <f>IF(ExcusionSales!I4,40,0)</f>
        <v>40</v>
      </c>
      <c r="K3" s="41">
        <f>IF(ExcusionSales!J4,100,0)</f>
        <v>100</v>
      </c>
      <c r="L3" s="41">
        <f>IF(ExcusionSales!L4,65,0)</f>
        <v>65</v>
      </c>
      <c r="M3" s="41">
        <v>0</v>
      </c>
      <c r="N3" s="41">
        <v>0</v>
      </c>
      <c r="O3" s="41">
        <f t="shared" ref="O3:O49" si="0">SUM(C3:L3)+N3</f>
        <v>590</v>
      </c>
    </row>
    <row r="4" spans="1:15">
      <c r="A4" t="str">
        <f>ExcusionSales!A5</f>
        <v>Mehmet BarışAltun</v>
      </c>
      <c r="B4" t="b">
        <f>ExcusionSales!N5</f>
        <v>0</v>
      </c>
      <c r="C4" s="41">
        <f>IF(ExcusionSales!B5,40,0)</f>
        <v>40</v>
      </c>
      <c r="D4" s="41">
        <f>IF(ExcusionSales!C5,50,0)</f>
        <v>50</v>
      </c>
      <c r="E4" s="41">
        <f>IF(ExcusionSales!D5,60,0)</f>
        <v>60</v>
      </c>
      <c r="F4" s="41">
        <f>IF(ExcusionSales!E5,65,0)</f>
        <v>0</v>
      </c>
      <c r="G4" s="41">
        <f>IF(ExcusionSales!F5,40,0)</f>
        <v>40</v>
      </c>
      <c r="H4" s="41">
        <f>IF(ExcusionSales!G5,60,0)</f>
        <v>60</v>
      </c>
      <c r="I4" s="41">
        <f>IF(ExcusionSales!H5,70,0)</f>
        <v>70</v>
      </c>
      <c r="J4" s="41">
        <f>IF(ExcusionSales!I5,40,0)</f>
        <v>0</v>
      </c>
      <c r="K4" s="41">
        <f>IF(ExcusionSales!J5,100,0)</f>
        <v>100</v>
      </c>
      <c r="L4" s="41">
        <f>IF(ExcusionSales!L5,65,0)</f>
        <v>0</v>
      </c>
      <c r="M4" s="41">
        <v>0</v>
      </c>
      <c r="N4" s="41">
        <v>0</v>
      </c>
      <c r="O4" s="41">
        <f t="shared" si="0"/>
        <v>420</v>
      </c>
    </row>
    <row r="5" spans="1:15">
      <c r="A5" t="str">
        <f>ExcusionSales!A6</f>
        <v>TugbaAltun</v>
      </c>
      <c r="B5" t="b">
        <f>ExcusionSales!N6</f>
        <v>0</v>
      </c>
      <c r="C5" s="41">
        <f>IF(ExcusionSales!B6,40,0)</f>
        <v>40</v>
      </c>
      <c r="D5" s="41">
        <f>IF(ExcusionSales!C6,50,0)</f>
        <v>50</v>
      </c>
      <c r="E5" s="41">
        <f>IF(ExcusionSales!D6,60,0)</f>
        <v>60</v>
      </c>
      <c r="F5" s="41">
        <f>IF(ExcusionSales!E6,65,0)</f>
        <v>0</v>
      </c>
      <c r="G5" s="41">
        <f>IF(ExcusionSales!F6,40,0)</f>
        <v>40</v>
      </c>
      <c r="H5" s="41">
        <f>IF(ExcusionSales!G6,60,0)</f>
        <v>60</v>
      </c>
      <c r="I5" s="41">
        <f>IF(ExcusionSales!H6,70,0)</f>
        <v>70</v>
      </c>
      <c r="J5" s="41">
        <f>IF(ExcusionSales!I6,40,0)</f>
        <v>0</v>
      </c>
      <c r="K5" s="41">
        <f>IF(ExcusionSales!J6,100,0)</f>
        <v>100</v>
      </c>
      <c r="L5" s="41">
        <f>IF(ExcusionSales!L6,65,0)</f>
        <v>0</v>
      </c>
      <c r="M5" s="41">
        <v>0</v>
      </c>
      <c r="N5" s="41">
        <v>0</v>
      </c>
      <c r="O5" s="41">
        <f t="shared" si="0"/>
        <v>420</v>
      </c>
    </row>
    <row r="6" spans="1:15">
      <c r="A6" t="str">
        <f>ExcusionSales!A7</f>
        <v>Gül CananFettahlıoğlu</v>
      </c>
      <c r="B6" t="b">
        <f>ExcusionSales!N7</f>
        <v>0</v>
      </c>
      <c r="C6" s="41">
        <f>IF(ExcusionSales!B7,40,0)</f>
        <v>40</v>
      </c>
      <c r="D6" s="41">
        <f>IF(ExcusionSales!C7,50,0)</f>
        <v>0</v>
      </c>
      <c r="E6" s="41">
        <f>IF(ExcusionSales!D7,60,0)</f>
        <v>60</v>
      </c>
      <c r="F6" s="41">
        <f>IF(ExcusionSales!E7,65,0)</f>
        <v>0</v>
      </c>
      <c r="G6" s="41">
        <f>IF(ExcusionSales!F7,40,0)</f>
        <v>40</v>
      </c>
      <c r="H6" s="41">
        <f>IF(ExcusionSales!G7,60,0)</f>
        <v>60</v>
      </c>
      <c r="I6" s="41">
        <f>IF(ExcusionSales!H7,70,0)</f>
        <v>0</v>
      </c>
      <c r="J6" s="41">
        <f>IF(ExcusionSales!I7,40,0)</f>
        <v>40</v>
      </c>
      <c r="K6" s="41">
        <f>IF(ExcusionSales!J7,100,0)</f>
        <v>0</v>
      </c>
      <c r="L6" s="41">
        <f>IF(ExcusionSales!L7,65,0)</f>
        <v>0</v>
      </c>
      <c r="M6" s="41">
        <v>0</v>
      </c>
      <c r="N6" s="41">
        <v>0</v>
      </c>
      <c r="O6" s="41">
        <f t="shared" si="0"/>
        <v>240</v>
      </c>
    </row>
    <row r="7" spans="1:15">
      <c r="A7" t="str">
        <f>ExcusionSales!A8</f>
        <v>Ramazan YaşarFettahlıoğlu</v>
      </c>
      <c r="B7" t="b">
        <f>ExcusionSales!N8</f>
        <v>0</v>
      </c>
      <c r="C7" s="41">
        <f>IF(ExcusionSales!B8,40,0)</f>
        <v>40</v>
      </c>
      <c r="D7" s="41">
        <f>IF(ExcusionSales!C8,50,0)</f>
        <v>0</v>
      </c>
      <c r="E7" s="41">
        <f>IF(ExcusionSales!D8,60,0)</f>
        <v>60</v>
      </c>
      <c r="F7" s="41">
        <f>IF(ExcusionSales!E8,65,0)</f>
        <v>0</v>
      </c>
      <c r="G7" s="41">
        <f>IF(ExcusionSales!F8,40,0)</f>
        <v>40</v>
      </c>
      <c r="H7" s="41">
        <f>IF(ExcusionSales!G8,60,0)</f>
        <v>60</v>
      </c>
      <c r="I7" s="41">
        <f>IF(ExcusionSales!H8,70,0)</f>
        <v>0</v>
      </c>
      <c r="J7" s="41">
        <f>IF(ExcusionSales!I8,40,0)</f>
        <v>40</v>
      </c>
      <c r="K7" s="41">
        <f>IF(ExcusionSales!J8,100,0)</f>
        <v>0</v>
      </c>
      <c r="L7" s="41">
        <f>IF(ExcusionSales!L8,65,0)</f>
        <v>0</v>
      </c>
      <c r="M7" s="41">
        <v>0</v>
      </c>
      <c r="N7" s="41">
        <v>0</v>
      </c>
      <c r="O7" s="41">
        <f t="shared" si="0"/>
        <v>240</v>
      </c>
    </row>
    <row r="8" spans="1:15">
      <c r="A8" t="str">
        <f>ExcusionSales!A9</f>
        <v>Samiye NurFettahlıoğlu</v>
      </c>
      <c r="B8" t="b">
        <f>ExcusionSales!N9</f>
        <v>0</v>
      </c>
      <c r="C8" s="41">
        <f>IF(ExcusionSales!B9,40,0)</f>
        <v>40</v>
      </c>
      <c r="D8" s="41">
        <f>IF(ExcusionSales!C9,50,0)</f>
        <v>0</v>
      </c>
      <c r="E8" s="41">
        <f>IF(ExcusionSales!D9,60,0)</f>
        <v>60</v>
      </c>
      <c r="F8" s="41">
        <f>IF(ExcusionSales!E9,65,0)</f>
        <v>0</v>
      </c>
      <c r="G8" s="41">
        <f>IF(ExcusionSales!F9,40,0)</f>
        <v>40</v>
      </c>
      <c r="H8" s="41">
        <f>IF(ExcusionSales!G9,60,0)</f>
        <v>60</v>
      </c>
      <c r="I8" s="41">
        <f>IF(ExcusionSales!H9,70,0)</f>
        <v>0</v>
      </c>
      <c r="J8" s="41">
        <f>IF(ExcusionSales!I9,40,0)</f>
        <v>40</v>
      </c>
      <c r="K8" s="41">
        <f>IF(ExcusionSales!J9,100,0)</f>
        <v>0</v>
      </c>
      <c r="L8" s="41">
        <f>IF(ExcusionSales!L9,65,0)</f>
        <v>0</v>
      </c>
      <c r="M8" s="41">
        <v>0</v>
      </c>
      <c r="N8" s="41">
        <v>0</v>
      </c>
      <c r="O8" s="41">
        <f t="shared" si="0"/>
        <v>240</v>
      </c>
    </row>
    <row r="9" spans="1:15">
      <c r="A9" t="str">
        <f>ExcusionSales!A10</f>
        <v>Abdullah CemFettahlıoğlu</v>
      </c>
      <c r="B9" t="b">
        <f>ExcusionSales!N10</f>
        <v>0</v>
      </c>
      <c r="C9" s="41">
        <f>IF(ExcusionSales!B10,40,0)</f>
        <v>0</v>
      </c>
      <c r="D9" s="41">
        <f>IF(ExcusionSales!C10,50,0)</f>
        <v>0</v>
      </c>
      <c r="E9" s="41">
        <f>IF(ExcusionSales!D10,60,0)</f>
        <v>0</v>
      </c>
      <c r="F9" s="41">
        <f>IF(ExcusionSales!E10,65,0)</f>
        <v>0</v>
      </c>
      <c r="G9" s="41">
        <f>IF(ExcusionSales!F10,40,0)</f>
        <v>40</v>
      </c>
      <c r="H9" s="41">
        <f>IF(ExcusionSales!G10,60,0)</f>
        <v>60</v>
      </c>
      <c r="I9" s="41">
        <f>IF(ExcusionSales!H10,70,0)</f>
        <v>0</v>
      </c>
      <c r="J9" s="41">
        <f>IF(ExcusionSales!I10,40,0)</f>
        <v>40</v>
      </c>
      <c r="K9" s="41">
        <f>IF(ExcusionSales!J10,100,0)</f>
        <v>0</v>
      </c>
      <c r="L9" s="41">
        <f>IF(ExcusionSales!L10,65,0)</f>
        <v>0</v>
      </c>
      <c r="M9" s="41">
        <v>0</v>
      </c>
      <c r="N9" s="41">
        <v>0</v>
      </c>
      <c r="O9" s="41">
        <f t="shared" si="0"/>
        <v>140</v>
      </c>
    </row>
    <row r="10" spans="1:15">
      <c r="A10" t="str">
        <f>ExcusionSales!A11</f>
        <v>VacideSever</v>
      </c>
      <c r="B10" t="b">
        <f>ExcusionSales!N11</f>
        <v>0</v>
      </c>
      <c r="C10" s="41">
        <f>IF(ExcusionSales!B11,40,0)</f>
        <v>40</v>
      </c>
      <c r="D10" s="41">
        <f>IF(ExcusionSales!C11,50,0)</f>
        <v>0</v>
      </c>
      <c r="E10" s="41">
        <f>IF(ExcusionSales!D11,60,0)</f>
        <v>60</v>
      </c>
      <c r="F10" s="41">
        <f>IF(ExcusionSales!E11,65,0)</f>
        <v>0</v>
      </c>
      <c r="G10" s="41">
        <f>IF(ExcusionSales!F11,40,0)</f>
        <v>40</v>
      </c>
      <c r="H10" s="41">
        <f>IF(ExcusionSales!G11,60,0)</f>
        <v>60</v>
      </c>
      <c r="I10" s="41">
        <f>IF(ExcusionSales!H11,70,0)</f>
        <v>0</v>
      </c>
      <c r="J10" s="41">
        <f>IF(ExcusionSales!I11,40,0)</f>
        <v>40</v>
      </c>
      <c r="K10" s="41">
        <f>IF(ExcusionSales!J11,100,0)</f>
        <v>0</v>
      </c>
      <c r="L10" s="41">
        <f>IF(ExcusionSales!L11,65,0)</f>
        <v>0</v>
      </c>
      <c r="M10" s="41">
        <v>0</v>
      </c>
      <c r="N10" s="41">
        <v>0</v>
      </c>
      <c r="O10" s="41">
        <f t="shared" si="0"/>
        <v>240</v>
      </c>
    </row>
    <row r="11" spans="1:15">
      <c r="A11" t="str">
        <f>ExcusionSales!A12</f>
        <v>MetinMutlu</v>
      </c>
      <c r="B11" t="b">
        <f>ExcusionSales!N12</f>
        <v>0</v>
      </c>
      <c r="C11" s="41">
        <f>IF(ExcusionSales!B12,40,0)</f>
        <v>40</v>
      </c>
      <c r="D11" s="41">
        <f>IF(ExcusionSales!C12,50,0)</f>
        <v>0</v>
      </c>
      <c r="E11" s="41">
        <f>IF(ExcusionSales!D12,60,0)</f>
        <v>60</v>
      </c>
      <c r="F11" s="41">
        <f>IF(ExcusionSales!E12,65,0)</f>
        <v>0</v>
      </c>
      <c r="G11" s="41">
        <f>IF(ExcusionSales!F12,40,0)</f>
        <v>40</v>
      </c>
      <c r="H11" s="41">
        <f>IF(ExcusionSales!G12,60,0)</f>
        <v>60</v>
      </c>
      <c r="I11" s="41">
        <f>IF(ExcusionSales!H12,70,0)</f>
        <v>0</v>
      </c>
      <c r="J11" s="41">
        <f>IF(ExcusionSales!I12,40,0)</f>
        <v>40</v>
      </c>
      <c r="K11" s="41">
        <f>IF(ExcusionSales!J12,100,0)</f>
        <v>0</v>
      </c>
      <c r="L11" s="41">
        <f>IF(ExcusionSales!L12,65,0)</f>
        <v>0</v>
      </c>
      <c r="M11" s="41">
        <v>0</v>
      </c>
      <c r="N11" s="41">
        <v>0</v>
      </c>
      <c r="O11" s="41">
        <f t="shared" si="0"/>
        <v>240</v>
      </c>
    </row>
    <row r="12" spans="1:15">
      <c r="A12" t="str">
        <f>ExcusionSales!A13</f>
        <v>İBRAHİM HALİLERTAN</v>
      </c>
      <c r="B12" t="b">
        <f>ExcusionSales!N13</f>
        <v>0</v>
      </c>
      <c r="C12" s="41">
        <f>IF(ExcusionSales!B13,40,0)</f>
        <v>40</v>
      </c>
      <c r="D12" s="41">
        <f>IF(ExcusionSales!C13,50,0)</f>
        <v>0</v>
      </c>
      <c r="E12" s="41">
        <f>IF(ExcusionSales!D13,60,0)</f>
        <v>60</v>
      </c>
      <c r="F12" s="41">
        <f>IF(ExcusionSales!E13,65,0)</f>
        <v>0</v>
      </c>
      <c r="G12" s="41">
        <f>IF(ExcusionSales!F13,40,0)</f>
        <v>0</v>
      </c>
      <c r="H12" s="41">
        <f>IF(ExcusionSales!G13,60,0)</f>
        <v>60</v>
      </c>
      <c r="I12" s="41">
        <f>IF(ExcusionSales!H13,70,0)</f>
        <v>0</v>
      </c>
      <c r="J12" s="41">
        <f>IF(ExcusionSales!I13,40,0)</f>
        <v>40</v>
      </c>
      <c r="K12" s="41">
        <f>IF(ExcusionSales!J13,100,0)</f>
        <v>0</v>
      </c>
      <c r="L12" s="41">
        <f>IF(ExcusionSales!L13,65,0)</f>
        <v>0</v>
      </c>
      <c r="M12" s="41">
        <v>0</v>
      </c>
      <c r="N12" s="41">
        <v>0</v>
      </c>
      <c r="O12" s="41">
        <f t="shared" si="0"/>
        <v>200</v>
      </c>
    </row>
    <row r="13" spans="1:15">
      <c r="A13" t="str">
        <f>ExcusionSales!A14</f>
        <v>TUBAERTAN</v>
      </c>
      <c r="B13" t="b">
        <f>ExcusionSales!N14</f>
        <v>0</v>
      </c>
      <c r="C13" s="41">
        <f>IF(ExcusionSales!B14,40,0)</f>
        <v>40</v>
      </c>
      <c r="D13" s="41">
        <f>IF(ExcusionSales!C14,50,0)</f>
        <v>0</v>
      </c>
      <c r="E13" s="41">
        <f>IF(ExcusionSales!D14,60,0)</f>
        <v>60</v>
      </c>
      <c r="F13" s="41">
        <f>IF(ExcusionSales!E14,65,0)</f>
        <v>0</v>
      </c>
      <c r="G13" s="41">
        <f>IF(ExcusionSales!F14,40,0)</f>
        <v>0</v>
      </c>
      <c r="H13" s="41">
        <f>IF(ExcusionSales!G14,60,0)</f>
        <v>60</v>
      </c>
      <c r="I13" s="41">
        <f>IF(ExcusionSales!H14,70,0)</f>
        <v>0</v>
      </c>
      <c r="J13" s="41">
        <f>IF(ExcusionSales!I14,40,0)</f>
        <v>40</v>
      </c>
      <c r="K13" s="41">
        <f>IF(ExcusionSales!J14,100,0)</f>
        <v>0</v>
      </c>
      <c r="L13" s="41">
        <f>IF(ExcusionSales!L14,65,0)</f>
        <v>0</v>
      </c>
      <c r="M13" s="41">
        <v>0</v>
      </c>
      <c r="N13" s="41">
        <v>0</v>
      </c>
      <c r="O13" s="41">
        <f t="shared" si="0"/>
        <v>200</v>
      </c>
    </row>
    <row r="14" spans="1:15">
      <c r="A14" t="str">
        <f>ExcusionSales!A15</f>
        <v>BÜŞRA NEVİNERTAN</v>
      </c>
      <c r="B14" t="b">
        <f>ExcusionSales!N15</f>
        <v>0</v>
      </c>
      <c r="C14" s="41">
        <f>IF(ExcusionSales!B15,40,0)</f>
        <v>0</v>
      </c>
      <c r="D14" s="41">
        <f>IF(ExcusionSales!C15,50,0)</f>
        <v>0</v>
      </c>
      <c r="E14" s="41">
        <f>IF(ExcusionSales!D15,60,0)</f>
        <v>0</v>
      </c>
      <c r="F14" s="41">
        <f>IF(ExcusionSales!E15,65,0)</f>
        <v>0</v>
      </c>
      <c r="G14" s="41">
        <f>IF(ExcusionSales!F15,40,0)</f>
        <v>0</v>
      </c>
      <c r="H14" s="41">
        <f>IF(ExcusionSales!G15,60,0)</f>
        <v>0</v>
      </c>
      <c r="I14" s="41">
        <f>IF(ExcusionSales!H15,70,0)</f>
        <v>0</v>
      </c>
      <c r="J14" s="41">
        <f>IF(ExcusionSales!I15,40,0)</f>
        <v>0</v>
      </c>
      <c r="K14" s="41">
        <f>IF(ExcusionSales!J15,100,0)</f>
        <v>0</v>
      </c>
      <c r="L14" s="41">
        <f>IF(ExcusionSales!L15,65,0)</f>
        <v>0</v>
      </c>
      <c r="M14" s="41">
        <v>0</v>
      </c>
      <c r="N14" s="41">
        <v>0</v>
      </c>
      <c r="O14" s="41">
        <f t="shared" si="0"/>
        <v>0</v>
      </c>
    </row>
    <row r="15" spans="1:15">
      <c r="A15" t="str">
        <f>ExcusionSales!A16</f>
        <v>HATİCEKUŞ KARAKURT</v>
      </c>
      <c r="B15" t="b">
        <f>ExcusionSales!N16</f>
        <v>0</v>
      </c>
      <c r="C15" s="41">
        <f>IF(ExcusionSales!B16,40,0)</f>
        <v>40</v>
      </c>
      <c r="D15" s="41">
        <f>IF(ExcusionSales!C16,50,0)</f>
        <v>0</v>
      </c>
      <c r="E15" s="41">
        <f>IF(ExcusionSales!D16,60,0)</f>
        <v>0</v>
      </c>
      <c r="F15" s="41">
        <f>IF(ExcusionSales!E16,65,0)</f>
        <v>0</v>
      </c>
      <c r="G15" s="41">
        <f>IF(ExcusionSales!F16,40,0)</f>
        <v>40</v>
      </c>
      <c r="H15" s="41">
        <f>IF(ExcusionSales!G16,60,0)</f>
        <v>0</v>
      </c>
      <c r="I15" s="41">
        <f>IF(ExcusionSales!H16,70,0)</f>
        <v>0</v>
      </c>
      <c r="J15" s="41">
        <f>IF(ExcusionSales!I16,40,0)</f>
        <v>0</v>
      </c>
      <c r="K15" s="41">
        <f>IF(ExcusionSales!J16,100,0)</f>
        <v>0</v>
      </c>
      <c r="L15" s="41">
        <f>IF(ExcusionSales!L16,65,0)</f>
        <v>0</v>
      </c>
      <c r="M15" s="41">
        <v>0</v>
      </c>
      <c r="N15" s="41">
        <v>0</v>
      </c>
      <c r="O15" s="41">
        <f t="shared" si="0"/>
        <v>80</v>
      </c>
    </row>
    <row r="16" spans="1:15">
      <c r="A16" t="str">
        <f>ExcusionSales!A17</f>
        <v>ALPTEKİNKARAKURT</v>
      </c>
      <c r="B16" t="b">
        <f>ExcusionSales!N17</f>
        <v>0</v>
      </c>
      <c r="C16" s="41">
        <f>IF(ExcusionSales!B17,40,0)</f>
        <v>40</v>
      </c>
      <c r="D16" s="41">
        <f>IF(ExcusionSales!C17,50,0)</f>
        <v>0</v>
      </c>
      <c r="E16" s="41">
        <f>IF(ExcusionSales!D17,60,0)</f>
        <v>0</v>
      </c>
      <c r="F16" s="41">
        <f>IF(ExcusionSales!E17,65,0)</f>
        <v>0</v>
      </c>
      <c r="G16" s="41">
        <f>IF(ExcusionSales!F17,40,0)</f>
        <v>40</v>
      </c>
      <c r="H16" s="41">
        <f>IF(ExcusionSales!G17,60,0)</f>
        <v>0</v>
      </c>
      <c r="I16" s="41">
        <f>IF(ExcusionSales!H17,70,0)</f>
        <v>0</v>
      </c>
      <c r="J16" s="41">
        <f>IF(ExcusionSales!I17,40,0)</f>
        <v>0</v>
      </c>
      <c r="K16" s="41">
        <f>IF(ExcusionSales!J17,100,0)</f>
        <v>0</v>
      </c>
      <c r="L16" s="41">
        <f>IF(ExcusionSales!L17,65,0)</f>
        <v>0</v>
      </c>
      <c r="M16" s="41">
        <v>0</v>
      </c>
      <c r="N16" s="41">
        <v>0</v>
      </c>
      <c r="O16" s="41">
        <f t="shared" si="0"/>
        <v>80</v>
      </c>
    </row>
    <row r="17" spans="1:15">
      <c r="A17" t="str">
        <f>ExcusionSales!A18</f>
        <v>ASYA BALIMKARAKURT</v>
      </c>
      <c r="B17" t="b">
        <f>ExcusionSales!N18</f>
        <v>0</v>
      </c>
      <c r="C17" s="41">
        <f>IF(ExcusionSales!B18,40,0)</f>
        <v>0</v>
      </c>
      <c r="D17" s="41">
        <f>IF(ExcusionSales!C18,50,0)</f>
        <v>0</v>
      </c>
      <c r="E17" s="41">
        <f>IF(ExcusionSales!D18,60,0)</f>
        <v>0</v>
      </c>
      <c r="F17" s="41">
        <f>IF(ExcusionSales!E18,65,0)</f>
        <v>0</v>
      </c>
      <c r="G17" s="41">
        <f>IF(ExcusionSales!F18,40,0)</f>
        <v>40</v>
      </c>
      <c r="H17" s="41">
        <f>IF(ExcusionSales!G18,60,0)</f>
        <v>0</v>
      </c>
      <c r="I17" s="41">
        <f>IF(ExcusionSales!H18,70,0)</f>
        <v>0</v>
      </c>
      <c r="J17" s="41">
        <f>IF(ExcusionSales!I18,40,0)</f>
        <v>0</v>
      </c>
      <c r="K17" s="41">
        <f>IF(ExcusionSales!J18,100,0)</f>
        <v>0</v>
      </c>
      <c r="L17" s="41">
        <f>IF(ExcusionSales!L18,65,0)</f>
        <v>0</v>
      </c>
      <c r="M17" s="41">
        <v>0</v>
      </c>
      <c r="N17" s="41">
        <v>0</v>
      </c>
      <c r="O17" s="41">
        <f t="shared" si="0"/>
        <v>40</v>
      </c>
    </row>
    <row r="18" spans="1:15">
      <c r="A18" t="str">
        <f>ExcusionSales!A19</f>
        <v>DAMLAKİREMİTCİ</v>
      </c>
      <c r="B18" t="b">
        <f>ExcusionSales!N19</f>
        <v>0</v>
      </c>
      <c r="C18" s="41">
        <f>IF(ExcusionSales!B19,40,0)</f>
        <v>40</v>
      </c>
      <c r="D18" s="41">
        <f>IF(ExcusionSales!C19,50,0)</f>
        <v>50</v>
      </c>
      <c r="E18" s="41">
        <f>IF(ExcusionSales!D19,60,0)</f>
        <v>60</v>
      </c>
      <c r="F18" s="41">
        <f>IF(ExcusionSales!E19,65,0)</f>
        <v>0</v>
      </c>
      <c r="G18" s="41">
        <f>IF(ExcusionSales!F19,40,0)</f>
        <v>0</v>
      </c>
      <c r="H18" s="41">
        <f>IF(ExcusionSales!G19,60,0)</f>
        <v>0</v>
      </c>
      <c r="I18" s="41">
        <f>IF(ExcusionSales!H19,70,0)</f>
        <v>0</v>
      </c>
      <c r="J18" s="41">
        <f>IF(ExcusionSales!I19,40,0)</f>
        <v>40</v>
      </c>
      <c r="K18" s="41">
        <f>IF(ExcusionSales!J19,100,0)</f>
        <v>0</v>
      </c>
      <c r="L18" s="41">
        <f>IF(ExcusionSales!L19,65,0)</f>
        <v>0</v>
      </c>
      <c r="M18" s="41">
        <v>0</v>
      </c>
      <c r="N18" s="41">
        <v>0</v>
      </c>
      <c r="O18" s="41">
        <f t="shared" si="0"/>
        <v>190</v>
      </c>
    </row>
    <row r="19" spans="1:15">
      <c r="A19" t="str">
        <f>ExcusionSales!A20</f>
        <v>ALTANKİREMİTCİ</v>
      </c>
      <c r="B19" t="b">
        <f>ExcusionSales!N20</f>
        <v>0</v>
      </c>
      <c r="C19" s="41">
        <f>IF(ExcusionSales!B20,40,0)</f>
        <v>40</v>
      </c>
      <c r="D19" s="41">
        <f>IF(ExcusionSales!C20,50,0)</f>
        <v>50</v>
      </c>
      <c r="E19" s="41">
        <f>IF(ExcusionSales!D20,60,0)</f>
        <v>60</v>
      </c>
      <c r="F19" s="41">
        <f>IF(ExcusionSales!E20,65,0)</f>
        <v>0</v>
      </c>
      <c r="G19" s="41">
        <f>IF(ExcusionSales!F20,40,0)</f>
        <v>0</v>
      </c>
      <c r="H19" s="41">
        <f>IF(ExcusionSales!G20,60,0)</f>
        <v>0</v>
      </c>
      <c r="I19" s="41">
        <f>IF(ExcusionSales!H20,70,0)</f>
        <v>0</v>
      </c>
      <c r="J19" s="41">
        <f>IF(ExcusionSales!I20,40,0)</f>
        <v>40</v>
      </c>
      <c r="K19" s="41">
        <f>IF(ExcusionSales!J20,100,0)</f>
        <v>0</v>
      </c>
      <c r="L19" s="41">
        <f>IF(ExcusionSales!L20,65,0)</f>
        <v>0</v>
      </c>
      <c r="M19" s="41">
        <v>0</v>
      </c>
      <c r="N19" s="41">
        <v>0</v>
      </c>
      <c r="O19" s="41">
        <f t="shared" si="0"/>
        <v>190</v>
      </c>
    </row>
    <row r="20" spans="1:15">
      <c r="A20" t="str">
        <f>ExcusionSales!A21</f>
        <v>ARYAKİREMİTCİ</v>
      </c>
      <c r="B20" t="b">
        <f>ExcusionSales!N21</f>
        <v>0</v>
      </c>
      <c r="C20" s="41">
        <f>IF(ExcusionSales!B21,40,0)</f>
        <v>0</v>
      </c>
      <c r="D20" s="41">
        <f>IF(ExcusionSales!C21,50,0)</f>
        <v>0</v>
      </c>
      <c r="E20" s="41">
        <f>IF(ExcusionSales!D21,60,0)</f>
        <v>0</v>
      </c>
      <c r="F20" s="41">
        <f>IF(ExcusionSales!E21,65,0)</f>
        <v>0</v>
      </c>
      <c r="G20" s="41">
        <f>IF(ExcusionSales!F21,40,0)</f>
        <v>0</v>
      </c>
      <c r="H20" s="41">
        <f>IF(ExcusionSales!G21,60,0)</f>
        <v>0</v>
      </c>
      <c r="I20" s="41">
        <f>IF(ExcusionSales!H21,70,0)</f>
        <v>0</v>
      </c>
      <c r="J20" s="41">
        <f>IF(ExcusionSales!I21,40,0)</f>
        <v>0</v>
      </c>
      <c r="K20" s="41">
        <f>IF(ExcusionSales!J21,100,0)</f>
        <v>0</v>
      </c>
      <c r="L20" s="41">
        <f>IF(ExcusionSales!L21,65,0)</f>
        <v>0</v>
      </c>
      <c r="M20" s="41">
        <v>0</v>
      </c>
      <c r="N20" s="41">
        <v>0</v>
      </c>
      <c r="O20" s="41">
        <f t="shared" si="0"/>
        <v>0</v>
      </c>
    </row>
    <row r="21" spans="1:15">
      <c r="A21" t="str">
        <f>ExcusionSales!A22</f>
        <v>EMİNEDUZ</v>
      </c>
      <c r="B21" t="b">
        <f>ExcusionSales!N22</f>
        <v>0</v>
      </c>
      <c r="C21" s="41">
        <f>IF(ExcusionSales!B22,40,0)</f>
        <v>40</v>
      </c>
      <c r="D21" s="41">
        <f>IF(ExcusionSales!C22,50,0)</f>
        <v>50</v>
      </c>
      <c r="E21" s="41">
        <f>IF(ExcusionSales!D22,60,0)</f>
        <v>0</v>
      </c>
      <c r="F21" s="41">
        <f>IF(ExcusionSales!E22,65,0)</f>
        <v>0</v>
      </c>
      <c r="G21" s="41">
        <f>IF(ExcusionSales!F22,40,0)</f>
        <v>40</v>
      </c>
      <c r="H21" s="41">
        <f>IF(ExcusionSales!G22,60,0)</f>
        <v>60</v>
      </c>
      <c r="I21" s="41">
        <f>IF(ExcusionSales!H22,70,0)</f>
        <v>0</v>
      </c>
      <c r="J21" s="41">
        <f>IF(ExcusionSales!I22,40,0)</f>
        <v>0</v>
      </c>
      <c r="K21" s="41">
        <f>IF(ExcusionSales!J22,100,0)</f>
        <v>100</v>
      </c>
      <c r="L21" s="41">
        <f>IF(ExcusionSales!L22,65,0)</f>
        <v>0</v>
      </c>
      <c r="M21" s="41">
        <v>0</v>
      </c>
      <c r="N21" s="41">
        <v>0</v>
      </c>
      <c r="O21" s="41">
        <f t="shared" si="0"/>
        <v>290</v>
      </c>
    </row>
    <row r="22" spans="1:15">
      <c r="A22" t="str">
        <f>ExcusionSales!A23</f>
        <v>AYLİZKOCABAŞ</v>
      </c>
      <c r="B22" t="b">
        <f>ExcusionSales!N23</f>
        <v>0</v>
      </c>
      <c r="C22" s="41">
        <f>IF(ExcusionSales!B23,40,0)</f>
        <v>40</v>
      </c>
      <c r="D22" s="41">
        <f>IF(ExcusionSales!C23,50,0)</f>
        <v>50</v>
      </c>
      <c r="E22" s="41">
        <f>IF(ExcusionSales!D23,60,0)</f>
        <v>0</v>
      </c>
      <c r="F22" s="41">
        <f>IF(ExcusionSales!E23,65,0)</f>
        <v>0</v>
      </c>
      <c r="G22" s="41">
        <f>IF(ExcusionSales!F23,40,0)</f>
        <v>40</v>
      </c>
      <c r="H22" s="41">
        <f>IF(ExcusionSales!G23,60,0)</f>
        <v>60</v>
      </c>
      <c r="I22" s="41">
        <f>IF(ExcusionSales!H23,70,0)</f>
        <v>0</v>
      </c>
      <c r="J22" s="41">
        <f>IF(ExcusionSales!I23,40,0)</f>
        <v>0</v>
      </c>
      <c r="K22" s="41">
        <f>IF(ExcusionSales!J23,100,0)</f>
        <v>100</v>
      </c>
      <c r="L22" s="41">
        <f>IF(ExcusionSales!L23,65,0)</f>
        <v>0</v>
      </c>
      <c r="M22" s="41">
        <v>0</v>
      </c>
      <c r="N22" s="41">
        <v>0</v>
      </c>
      <c r="O22" s="41">
        <f t="shared" si="0"/>
        <v>290</v>
      </c>
    </row>
    <row r="23" spans="1:15">
      <c r="A23" t="str">
        <f>ExcusionSales!A24</f>
        <v>MERVEKOCABAŞ</v>
      </c>
      <c r="B23" t="b">
        <f>ExcusionSales!N24</f>
        <v>0</v>
      </c>
      <c r="C23" s="41">
        <f>IF(ExcusionSales!B24,40,0)</f>
        <v>40</v>
      </c>
      <c r="D23" s="41">
        <f>IF(ExcusionSales!C24,50,0)</f>
        <v>50</v>
      </c>
      <c r="E23" s="41">
        <f>IF(ExcusionSales!D24,60,0)</f>
        <v>0</v>
      </c>
      <c r="F23" s="41">
        <f>IF(ExcusionSales!E24,65,0)</f>
        <v>0</v>
      </c>
      <c r="G23" s="41">
        <f>IF(ExcusionSales!F24,40,0)</f>
        <v>40</v>
      </c>
      <c r="H23" s="41">
        <f>IF(ExcusionSales!G24,60,0)</f>
        <v>60</v>
      </c>
      <c r="I23" s="41">
        <f>IF(ExcusionSales!H24,70,0)</f>
        <v>0</v>
      </c>
      <c r="J23" s="41">
        <f>IF(ExcusionSales!I24,40,0)</f>
        <v>0</v>
      </c>
      <c r="K23" s="41">
        <f>IF(ExcusionSales!J24,100,0)</f>
        <v>100</v>
      </c>
      <c r="L23" s="41">
        <f>IF(ExcusionSales!L24,65,0)</f>
        <v>0</v>
      </c>
      <c r="M23" s="41">
        <v>0</v>
      </c>
      <c r="N23" s="41">
        <v>0</v>
      </c>
      <c r="O23" s="41">
        <f t="shared" si="0"/>
        <v>290</v>
      </c>
    </row>
    <row r="24" spans="1:15">
      <c r="A24" t="str">
        <f>ExcusionSales!A25</f>
        <v>BerkanKaya</v>
      </c>
      <c r="B24" t="b">
        <f>ExcusionSales!N25</f>
        <v>0</v>
      </c>
      <c r="C24" s="41">
        <f>IF(ExcusionSales!B25,40,0)</f>
        <v>40</v>
      </c>
      <c r="D24" s="41">
        <f>IF(ExcusionSales!C25,50,0)</f>
        <v>50</v>
      </c>
      <c r="E24" s="41">
        <f>IF(ExcusionSales!D25,60,0)</f>
        <v>60</v>
      </c>
      <c r="F24" s="41">
        <f>IF(ExcusionSales!E25,65,0)</f>
        <v>65</v>
      </c>
      <c r="G24" s="41">
        <f>IF(ExcusionSales!F25,40,0)</f>
        <v>40</v>
      </c>
      <c r="H24" s="41">
        <f>IF(ExcusionSales!G25,60,0)</f>
        <v>60</v>
      </c>
      <c r="I24" s="41">
        <f>IF(ExcusionSales!H25,70,0)</f>
        <v>0</v>
      </c>
      <c r="J24" s="41">
        <f>IF(ExcusionSales!I25,40,0)</f>
        <v>40</v>
      </c>
      <c r="K24" s="41">
        <f>IF(ExcusionSales!J25,100,0)</f>
        <v>0</v>
      </c>
      <c r="L24" s="41">
        <f>IF(ExcusionSales!L25,65,0)</f>
        <v>0</v>
      </c>
      <c r="M24" s="41">
        <v>0</v>
      </c>
      <c r="N24" s="41">
        <v>0</v>
      </c>
      <c r="O24" s="41">
        <f t="shared" si="0"/>
        <v>355</v>
      </c>
    </row>
    <row r="25" spans="1:15">
      <c r="A25" t="str">
        <f>ExcusionSales!A26</f>
        <v>SENEMKAYA</v>
      </c>
      <c r="B25" t="b">
        <f>ExcusionSales!N26</f>
        <v>0</v>
      </c>
      <c r="C25" s="41">
        <f>IF(ExcusionSales!B26,40,0)</f>
        <v>40</v>
      </c>
      <c r="D25" s="41">
        <f>IF(ExcusionSales!C26,50,0)</f>
        <v>50</v>
      </c>
      <c r="E25" s="41">
        <f>IF(ExcusionSales!D26,60,0)</f>
        <v>60</v>
      </c>
      <c r="F25" s="41">
        <f>IF(ExcusionSales!E26,65,0)</f>
        <v>65</v>
      </c>
      <c r="G25" s="41">
        <f>IF(ExcusionSales!F26,40,0)</f>
        <v>40</v>
      </c>
      <c r="H25" s="41">
        <f>IF(ExcusionSales!G26,60,0)</f>
        <v>60</v>
      </c>
      <c r="I25" s="41">
        <f>IF(ExcusionSales!H26,70,0)</f>
        <v>0</v>
      </c>
      <c r="J25" s="41">
        <f>IF(ExcusionSales!I26,40,0)</f>
        <v>40</v>
      </c>
      <c r="K25" s="41">
        <f>IF(ExcusionSales!J26,100,0)</f>
        <v>0</v>
      </c>
      <c r="L25" s="41">
        <f>IF(ExcusionSales!L26,65,0)</f>
        <v>0</v>
      </c>
      <c r="M25" s="41">
        <v>0</v>
      </c>
      <c r="N25" s="41">
        <v>0</v>
      </c>
      <c r="O25" s="41">
        <f t="shared" si="0"/>
        <v>355</v>
      </c>
    </row>
    <row r="26" spans="1:15">
      <c r="A26" t="str">
        <f>ExcusionSales!A27</f>
        <v>MECİTUYGUN</v>
      </c>
      <c r="B26" t="b">
        <f>ExcusionSales!N27</f>
        <v>0</v>
      </c>
      <c r="C26" s="41">
        <f>IF(ExcusionSales!B27,40,0)</f>
        <v>40</v>
      </c>
      <c r="D26" s="41">
        <f>IF(ExcusionSales!C27,50,0)</f>
        <v>50</v>
      </c>
      <c r="E26" s="41">
        <f>IF(ExcusionSales!D27,60,0)</f>
        <v>0</v>
      </c>
      <c r="F26" s="41">
        <f>IF(ExcusionSales!E27,65,0)</f>
        <v>0</v>
      </c>
      <c r="G26" s="41">
        <f>IF(ExcusionSales!F27,40,0)</f>
        <v>0</v>
      </c>
      <c r="H26" s="41">
        <f>IF(ExcusionSales!G27,60,0)</f>
        <v>60</v>
      </c>
      <c r="I26" s="41">
        <f>IF(ExcusionSales!H27,70,0)</f>
        <v>0</v>
      </c>
      <c r="J26" s="41">
        <f>IF(ExcusionSales!I27,40,0)</f>
        <v>0</v>
      </c>
      <c r="K26" s="41">
        <f>IF(ExcusionSales!J27,100,0)</f>
        <v>100</v>
      </c>
      <c r="L26" s="41">
        <f>IF(ExcusionSales!L27,65,0)</f>
        <v>0</v>
      </c>
      <c r="M26" s="41">
        <v>0</v>
      </c>
      <c r="N26" s="41">
        <v>0</v>
      </c>
      <c r="O26" s="41">
        <f t="shared" si="0"/>
        <v>250</v>
      </c>
    </row>
    <row r="27" spans="1:15">
      <c r="A27" t="str">
        <f>ExcusionSales!A28</f>
        <v>ASİYEUYGUN</v>
      </c>
      <c r="B27" t="b">
        <f>ExcusionSales!N28</f>
        <v>0</v>
      </c>
      <c r="C27" s="41">
        <f>IF(ExcusionSales!B28,40,0)</f>
        <v>40</v>
      </c>
      <c r="D27" s="41">
        <f>IF(ExcusionSales!C28,50,0)</f>
        <v>50</v>
      </c>
      <c r="E27" s="41">
        <f>IF(ExcusionSales!D28,60,0)</f>
        <v>0</v>
      </c>
      <c r="F27" s="41">
        <f>IF(ExcusionSales!E28,65,0)</f>
        <v>0</v>
      </c>
      <c r="G27" s="41">
        <f>IF(ExcusionSales!F28,40,0)</f>
        <v>0</v>
      </c>
      <c r="H27" s="41">
        <f>IF(ExcusionSales!G28,60,0)</f>
        <v>60</v>
      </c>
      <c r="I27" s="41">
        <f>IF(ExcusionSales!H28,70,0)</f>
        <v>0</v>
      </c>
      <c r="J27" s="41">
        <f>IF(ExcusionSales!I28,40,0)</f>
        <v>0</v>
      </c>
      <c r="K27" s="41">
        <f>IF(ExcusionSales!J28,100,0)</f>
        <v>100</v>
      </c>
      <c r="L27" s="41">
        <f>IF(ExcusionSales!L28,65,0)</f>
        <v>0</v>
      </c>
      <c r="M27" s="41">
        <v>0</v>
      </c>
      <c r="N27" s="41">
        <v>0</v>
      </c>
      <c r="O27" s="41">
        <f t="shared" si="0"/>
        <v>250</v>
      </c>
    </row>
    <row r="28" spans="1:15">
      <c r="A28" t="str">
        <f>ExcusionSales!A29</f>
        <v>DEMİRUYGUN</v>
      </c>
      <c r="B28" t="b">
        <f>ExcusionSales!N29</f>
        <v>0</v>
      </c>
      <c r="C28" s="41">
        <f>IF(ExcusionSales!B29,40,0)</f>
        <v>0</v>
      </c>
      <c r="D28" s="41">
        <f>IF(ExcusionSales!C29,50,0)</f>
        <v>50</v>
      </c>
      <c r="E28" s="41">
        <f>IF(ExcusionSales!D29,60,0)</f>
        <v>0</v>
      </c>
      <c r="F28" s="41">
        <f>IF(ExcusionSales!E29,65,0)</f>
        <v>0</v>
      </c>
      <c r="G28" s="41">
        <f>IF(ExcusionSales!F29,40,0)</f>
        <v>0</v>
      </c>
      <c r="H28" s="41">
        <f>IF(ExcusionSales!G29,60,0)</f>
        <v>0</v>
      </c>
      <c r="I28" s="41">
        <f>IF(ExcusionSales!H29,70,0)</f>
        <v>0</v>
      </c>
      <c r="J28" s="41">
        <f>IF(ExcusionSales!I29,40,0)</f>
        <v>0</v>
      </c>
      <c r="K28" s="41">
        <f>IF(ExcusionSales!J29,100,0)</f>
        <v>100</v>
      </c>
      <c r="L28" s="41">
        <f>IF(ExcusionSales!L29,65,0)</f>
        <v>0</v>
      </c>
      <c r="M28" s="41">
        <v>0</v>
      </c>
      <c r="N28" s="41">
        <v>-10</v>
      </c>
      <c r="O28" s="41">
        <f t="shared" si="0"/>
        <v>140</v>
      </c>
    </row>
    <row r="29" spans="1:15">
      <c r="A29" t="str">
        <f>ExcusionSales!A30</f>
        <v>BARIŞUYGUN</v>
      </c>
      <c r="B29" t="b">
        <f>ExcusionSales!N30</f>
        <v>0</v>
      </c>
      <c r="C29" s="41">
        <f>IF(ExcusionSales!B30,40,0)</f>
        <v>0</v>
      </c>
      <c r="D29" s="41">
        <f>IF(ExcusionSales!C30,50,0)</f>
        <v>50</v>
      </c>
      <c r="E29" s="41">
        <f>IF(ExcusionSales!D30,60,0)</f>
        <v>0</v>
      </c>
      <c r="F29" s="41">
        <f>IF(ExcusionSales!E30,65,0)</f>
        <v>0</v>
      </c>
      <c r="G29" s="41">
        <f>IF(ExcusionSales!F30,40,0)</f>
        <v>0</v>
      </c>
      <c r="H29" s="41">
        <f>IF(ExcusionSales!G30,60,0)</f>
        <v>0</v>
      </c>
      <c r="I29" s="41">
        <f>IF(ExcusionSales!H30,70,0)</f>
        <v>0</v>
      </c>
      <c r="J29" s="41">
        <f>IF(ExcusionSales!I30,40,0)</f>
        <v>0</v>
      </c>
      <c r="K29" s="41">
        <f>IF(ExcusionSales!J30,100,0)</f>
        <v>0</v>
      </c>
      <c r="L29" s="41">
        <f>IF(ExcusionSales!L30,65,0)</f>
        <v>0</v>
      </c>
      <c r="M29" s="41">
        <v>0</v>
      </c>
      <c r="N29" s="41">
        <v>-10</v>
      </c>
      <c r="O29" s="41">
        <f t="shared" si="0"/>
        <v>40</v>
      </c>
    </row>
    <row r="30" spans="1:15">
      <c r="A30" t="str">
        <f>ExcusionSales!A31</f>
        <v>EMELİNAN</v>
      </c>
      <c r="B30" t="b">
        <f>ExcusionSales!N31</f>
        <v>0</v>
      </c>
      <c r="C30" s="41">
        <f>IF(ExcusionSales!B31,40,0)</f>
        <v>40</v>
      </c>
      <c r="D30" s="41">
        <f>IF(ExcusionSales!C31,50,0)</f>
        <v>50</v>
      </c>
      <c r="E30" s="41">
        <f>IF(ExcusionSales!D31,60,0)</f>
        <v>0</v>
      </c>
      <c r="F30" s="41">
        <f>IF(ExcusionSales!E31,65,0)</f>
        <v>0</v>
      </c>
      <c r="G30" s="41">
        <f>IF(ExcusionSales!F31,40,0)</f>
        <v>40</v>
      </c>
      <c r="H30" s="41">
        <f>IF(ExcusionSales!G31,60,0)</f>
        <v>0</v>
      </c>
      <c r="I30" s="41">
        <f>IF(ExcusionSales!H31,70,0)</f>
        <v>0</v>
      </c>
      <c r="J30" s="41">
        <f>IF(ExcusionSales!I31,40,0)</f>
        <v>0</v>
      </c>
      <c r="K30" s="41">
        <f>IF(ExcusionSales!J31,100,0)</f>
        <v>100</v>
      </c>
      <c r="L30" s="41">
        <f>IF(ExcusionSales!L31,65,0)</f>
        <v>0</v>
      </c>
      <c r="M30" s="41">
        <v>0</v>
      </c>
      <c r="N30" s="41">
        <v>0</v>
      </c>
      <c r="O30" s="41">
        <f t="shared" si="0"/>
        <v>230</v>
      </c>
    </row>
    <row r="31" spans="1:15">
      <c r="A31" t="str">
        <f>ExcusionSales!A32</f>
        <v>ZAFERİNAN</v>
      </c>
      <c r="B31" t="b">
        <f>ExcusionSales!N32</f>
        <v>0</v>
      </c>
      <c r="C31" s="41">
        <f>IF(ExcusionSales!B32,40,0)</f>
        <v>40</v>
      </c>
      <c r="D31" s="41">
        <f>IF(ExcusionSales!C32,50,0)</f>
        <v>50</v>
      </c>
      <c r="E31" s="41">
        <f>IF(ExcusionSales!D32,60,0)</f>
        <v>0</v>
      </c>
      <c r="F31" s="41">
        <f>IF(ExcusionSales!E32,65,0)</f>
        <v>0</v>
      </c>
      <c r="G31" s="41">
        <f>IF(ExcusionSales!F32,40,0)</f>
        <v>40</v>
      </c>
      <c r="H31" s="41">
        <f>IF(ExcusionSales!G32,60,0)</f>
        <v>0</v>
      </c>
      <c r="I31" s="41">
        <f>IF(ExcusionSales!H32,70,0)</f>
        <v>0</v>
      </c>
      <c r="J31" s="41">
        <f>IF(ExcusionSales!I32,40,0)</f>
        <v>0</v>
      </c>
      <c r="K31" s="41">
        <f>IF(ExcusionSales!J32,100,0)</f>
        <v>100</v>
      </c>
      <c r="L31" s="41">
        <f>IF(ExcusionSales!L32,65,0)</f>
        <v>0</v>
      </c>
      <c r="M31" s="41">
        <v>0</v>
      </c>
      <c r="N31" s="41">
        <v>0</v>
      </c>
      <c r="O31" s="41">
        <f t="shared" si="0"/>
        <v>230</v>
      </c>
    </row>
    <row r="32" spans="1:15">
      <c r="A32" t="str">
        <f>ExcusionSales!A33</f>
        <v>ASİLİNAN</v>
      </c>
      <c r="B32" t="b">
        <f>ExcusionSales!N33</f>
        <v>0</v>
      </c>
      <c r="C32" s="41">
        <f>IF(ExcusionSales!B33,40,0)</f>
        <v>0</v>
      </c>
      <c r="D32" s="41">
        <f>IF(ExcusionSales!C33,50,0)</f>
        <v>50</v>
      </c>
      <c r="E32" s="41">
        <f>IF(ExcusionSales!D33,60,0)</f>
        <v>0</v>
      </c>
      <c r="F32" s="41">
        <f>IF(ExcusionSales!E33,65,0)</f>
        <v>0</v>
      </c>
      <c r="G32" s="41">
        <f>IF(ExcusionSales!F33,40,0)</f>
        <v>0</v>
      </c>
      <c r="H32" s="41">
        <f>IF(ExcusionSales!G33,60,0)</f>
        <v>0</v>
      </c>
      <c r="I32" s="41">
        <f>IF(ExcusionSales!H33,70,0)</f>
        <v>0</v>
      </c>
      <c r="J32" s="41">
        <f>IF(ExcusionSales!I33,40,0)</f>
        <v>0</v>
      </c>
      <c r="K32" s="41">
        <f>IF(ExcusionSales!J33,100,0)</f>
        <v>0</v>
      </c>
      <c r="L32" s="41">
        <f>IF(ExcusionSales!L33,65,0)</f>
        <v>0</v>
      </c>
      <c r="M32" s="41">
        <v>0</v>
      </c>
      <c r="N32" s="41">
        <v>0</v>
      </c>
      <c r="O32" s="41">
        <f t="shared" si="0"/>
        <v>50</v>
      </c>
    </row>
    <row r="33" spans="1:15">
      <c r="A33" t="str">
        <f>ExcusionSales!A34</f>
        <v>DEMİRİNAN</v>
      </c>
      <c r="B33" t="b">
        <f>ExcusionSales!N34</f>
        <v>0</v>
      </c>
      <c r="C33" s="41">
        <f>IF(ExcusionSales!B34,40,0)</f>
        <v>0</v>
      </c>
      <c r="D33" s="41">
        <f>IF(ExcusionSales!C34,50,0)</f>
        <v>50</v>
      </c>
      <c r="E33" s="41">
        <f>IF(ExcusionSales!D34,60,0)</f>
        <v>0</v>
      </c>
      <c r="F33" s="41">
        <f>IF(ExcusionSales!E34,65,0)</f>
        <v>0</v>
      </c>
      <c r="G33" s="41">
        <f>IF(ExcusionSales!F34,40,0)</f>
        <v>0</v>
      </c>
      <c r="H33" s="41">
        <f>IF(ExcusionSales!G34,60,0)</f>
        <v>0</v>
      </c>
      <c r="I33" s="41">
        <f>IF(ExcusionSales!H34,70,0)</f>
        <v>0</v>
      </c>
      <c r="J33" s="41">
        <f>IF(ExcusionSales!I34,40,0)</f>
        <v>0</v>
      </c>
      <c r="K33" s="41">
        <f>IF(ExcusionSales!J34,100,0)</f>
        <v>0</v>
      </c>
      <c r="L33" s="41">
        <f>IF(ExcusionSales!L34,65,0)</f>
        <v>0</v>
      </c>
      <c r="M33" s="41">
        <v>0</v>
      </c>
      <c r="N33" s="41">
        <v>-10</v>
      </c>
      <c r="O33" s="41">
        <f t="shared" si="0"/>
        <v>40</v>
      </c>
    </row>
    <row r="34" spans="1:15">
      <c r="A34" t="str">
        <f>ExcusionSales!A35</f>
        <v>M. HUSEYINKIMYONOGLU</v>
      </c>
      <c r="B34" t="b">
        <f>ExcusionSales!N35</f>
        <v>0</v>
      </c>
      <c r="C34" s="41">
        <f>IF(ExcusionSales!B35,40,0)</f>
        <v>40</v>
      </c>
      <c r="D34" s="41">
        <f>IF(ExcusionSales!C35,50,0)</f>
        <v>50</v>
      </c>
      <c r="E34" s="41">
        <f>IF(ExcusionSales!D35,60,0)</f>
        <v>0</v>
      </c>
      <c r="F34" s="41">
        <f>IF(ExcusionSales!E35,65,0)</f>
        <v>65</v>
      </c>
      <c r="G34" s="41">
        <f>IF(ExcusionSales!F35,40,0)</f>
        <v>40</v>
      </c>
      <c r="H34" s="41">
        <f>IF(ExcusionSales!G35,60,0)</f>
        <v>60</v>
      </c>
      <c r="I34" s="41">
        <f>IF(ExcusionSales!H35,70,0)</f>
        <v>0</v>
      </c>
      <c r="J34" s="41">
        <f>IF(ExcusionSales!I35,40,0)</f>
        <v>40</v>
      </c>
      <c r="K34" s="41">
        <f>IF(ExcusionSales!J35,100,0)</f>
        <v>100</v>
      </c>
      <c r="L34" s="41">
        <f>IF(ExcusionSales!L35,65,0)</f>
        <v>0</v>
      </c>
      <c r="M34" s="41">
        <v>0</v>
      </c>
      <c r="N34" s="41">
        <v>0</v>
      </c>
      <c r="O34" s="41">
        <f t="shared" si="0"/>
        <v>395</v>
      </c>
    </row>
    <row r="35" spans="1:15">
      <c r="A35" t="str">
        <f>ExcusionSales!A36</f>
        <v>INANCKIMYONOGLU</v>
      </c>
      <c r="B35" t="b">
        <f>ExcusionSales!N36</f>
        <v>0</v>
      </c>
      <c r="C35" s="41">
        <f>IF(ExcusionSales!B36,40,0)</f>
        <v>40</v>
      </c>
      <c r="D35" s="41">
        <f>IF(ExcusionSales!C36,50,0)</f>
        <v>50</v>
      </c>
      <c r="E35" s="41">
        <f>IF(ExcusionSales!D36,60,0)</f>
        <v>0</v>
      </c>
      <c r="F35" s="41">
        <f>IF(ExcusionSales!E36,65,0)</f>
        <v>65</v>
      </c>
      <c r="G35" s="41">
        <f>IF(ExcusionSales!F36,40,0)</f>
        <v>40</v>
      </c>
      <c r="H35" s="41">
        <f>IF(ExcusionSales!G36,60,0)</f>
        <v>60</v>
      </c>
      <c r="I35" s="41">
        <f>IF(ExcusionSales!H36,70,0)</f>
        <v>0</v>
      </c>
      <c r="J35" s="41">
        <f>IF(ExcusionSales!I36,40,0)</f>
        <v>40</v>
      </c>
      <c r="K35" s="41">
        <f>IF(ExcusionSales!J36,100,0)</f>
        <v>100</v>
      </c>
      <c r="L35" s="41">
        <f>IF(ExcusionSales!L36,65,0)</f>
        <v>0</v>
      </c>
      <c r="M35" s="41">
        <v>0</v>
      </c>
      <c r="N35" s="41">
        <v>0</v>
      </c>
      <c r="O35" s="41">
        <f t="shared" si="0"/>
        <v>395</v>
      </c>
    </row>
    <row r="36" spans="1:15">
      <c r="A36" t="str">
        <f>ExcusionSales!A37</f>
        <v>MEHMET LUTFIKIMYONOGLU</v>
      </c>
      <c r="B36" t="b">
        <f>ExcusionSales!N37</f>
        <v>0</v>
      </c>
      <c r="C36" s="41">
        <f>IF(ExcusionSales!B37,40,0)</f>
        <v>40</v>
      </c>
      <c r="D36" s="41">
        <f>IF(ExcusionSales!C37,50,0)</f>
        <v>50</v>
      </c>
      <c r="E36" s="41">
        <f>IF(ExcusionSales!D37,60,0)</f>
        <v>0</v>
      </c>
      <c r="F36" s="41">
        <f>IF(ExcusionSales!E37,65,0)</f>
        <v>65</v>
      </c>
      <c r="G36" s="41">
        <f>IF(ExcusionSales!F37,40,0)</f>
        <v>40</v>
      </c>
      <c r="H36" s="41">
        <f>IF(ExcusionSales!G37,60,0)</f>
        <v>60</v>
      </c>
      <c r="I36" s="41">
        <f>IF(ExcusionSales!H37,70,0)</f>
        <v>0</v>
      </c>
      <c r="J36" s="41">
        <f>IF(ExcusionSales!I37,40,0)</f>
        <v>40</v>
      </c>
      <c r="K36" s="41">
        <f>IF(ExcusionSales!J37,100,0)</f>
        <v>100</v>
      </c>
      <c r="L36" s="41">
        <f>IF(ExcusionSales!L37,65,0)</f>
        <v>0</v>
      </c>
      <c r="M36" s="41">
        <v>0</v>
      </c>
      <c r="N36" s="41">
        <v>0</v>
      </c>
      <c r="O36" s="41">
        <f t="shared" si="0"/>
        <v>395</v>
      </c>
    </row>
    <row r="37" spans="1:15">
      <c r="A37" t="str">
        <f>ExcusionSales!A38</f>
        <v>AZRAKIMYONOGLU</v>
      </c>
      <c r="B37" t="b">
        <f>ExcusionSales!N38</f>
        <v>0</v>
      </c>
      <c r="C37" s="41">
        <f>IF(ExcusionSales!B38,40,0)</f>
        <v>0</v>
      </c>
      <c r="D37" s="41">
        <f>IF(ExcusionSales!C38,50,0)</f>
        <v>50</v>
      </c>
      <c r="E37" s="41">
        <f>IF(ExcusionSales!D38,60,0)</f>
        <v>0</v>
      </c>
      <c r="F37" s="41">
        <f>IF(ExcusionSales!E38,65,0)</f>
        <v>65</v>
      </c>
      <c r="G37" s="41">
        <f>IF(ExcusionSales!F38,40,0)</f>
        <v>40</v>
      </c>
      <c r="H37" s="41">
        <f>IF(ExcusionSales!G38,60,0)</f>
        <v>0</v>
      </c>
      <c r="I37" s="41">
        <f>IF(ExcusionSales!H38,70,0)</f>
        <v>0</v>
      </c>
      <c r="J37" s="41">
        <f>IF(ExcusionSales!I38,40,0)</f>
        <v>0</v>
      </c>
      <c r="K37" s="41">
        <f>IF(ExcusionSales!J38,100,0)</f>
        <v>100</v>
      </c>
      <c r="L37" s="41">
        <f>IF(ExcusionSales!L38,65,0)</f>
        <v>0</v>
      </c>
      <c r="M37" s="41">
        <v>0</v>
      </c>
      <c r="N37" s="41">
        <v>-20</v>
      </c>
      <c r="O37" s="41">
        <f t="shared" si="0"/>
        <v>235</v>
      </c>
    </row>
    <row r="38" spans="1:15">
      <c r="A38" t="str">
        <f>ExcusionSales!A39</f>
        <v xml:space="preserve">SEMRAKEZBAN ARSLAN </v>
      </c>
      <c r="B38" t="b">
        <f>ExcusionSales!N39</f>
        <v>0</v>
      </c>
      <c r="C38" s="41">
        <f>IF(ExcusionSales!B39,40,0)</f>
        <v>40</v>
      </c>
      <c r="D38" s="41">
        <f>IF(ExcusionSales!C39,50,0)</f>
        <v>50</v>
      </c>
      <c r="E38" s="41">
        <f>IF(ExcusionSales!D39,60,0)</f>
        <v>60</v>
      </c>
      <c r="F38" s="41">
        <f>IF(ExcusionSales!E39,65,0)</f>
        <v>65</v>
      </c>
      <c r="G38" s="41">
        <f>IF(ExcusionSales!F39,40,0)</f>
        <v>40</v>
      </c>
      <c r="H38" s="41">
        <f>IF(ExcusionSales!G39,60,0)</f>
        <v>60</v>
      </c>
      <c r="I38" s="41">
        <f>IF(ExcusionSales!H39,70,0)</f>
        <v>0</v>
      </c>
      <c r="J38" s="41">
        <f>IF(ExcusionSales!I39,40,0)</f>
        <v>40</v>
      </c>
      <c r="K38" s="41">
        <f>IF(ExcusionSales!J39,100,0)</f>
        <v>100</v>
      </c>
      <c r="L38" s="41">
        <f>IF(ExcusionSales!L39,65,0)</f>
        <v>0</v>
      </c>
      <c r="M38" s="41">
        <v>-25</v>
      </c>
      <c r="N38" s="41">
        <v>0</v>
      </c>
      <c r="O38" s="41">
        <f t="shared" si="0"/>
        <v>455</v>
      </c>
    </row>
    <row r="39" spans="1:15">
      <c r="A39" t="str">
        <f>ExcusionSales!A40</f>
        <v>ARZUSASMAZ</v>
      </c>
      <c r="B39" t="b">
        <f>ExcusionSales!N40</f>
        <v>0</v>
      </c>
      <c r="C39" s="41">
        <f>IF(ExcusionSales!B40,40,0)</f>
        <v>40</v>
      </c>
      <c r="D39" s="41">
        <f>IF(ExcusionSales!C40,50,0)</f>
        <v>50</v>
      </c>
      <c r="E39" s="41">
        <f>IF(ExcusionSales!D40,60,0)</f>
        <v>0</v>
      </c>
      <c r="F39" s="41">
        <f>IF(ExcusionSales!E40,65,0)</f>
        <v>65</v>
      </c>
      <c r="G39" s="41">
        <f>IF(ExcusionSales!F40,40,0)</f>
        <v>0</v>
      </c>
      <c r="H39" s="41">
        <f>IF(ExcusionSales!G40,60,0)</f>
        <v>60</v>
      </c>
      <c r="I39" s="41">
        <f>IF(ExcusionSales!H40,70,0)</f>
        <v>0</v>
      </c>
      <c r="J39" s="41">
        <f>IF(ExcusionSales!I40,40,0)</f>
        <v>40</v>
      </c>
      <c r="K39" s="41">
        <f>IF(ExcusionSales!J40,100,0)</f>
        <v>100</v>
      </c>
      <c r="L39" s="41">
        <f>IF(ExcusionSales!L40,65,0)</f>
        <v>0</v>
      </c>
      <c r="M39" s="41">
        <v>-25</v>
      </c>
      <c r="N39" s="41">
        <v>0</v>
      </c>
      <c r="O39" s="41">
        <f t="shared" si="0"/>
        <v>355</v>
      </c>
    </row>
    <row r="40" spans="1:15">
      <c r="A40" t="str">
        <f>ExcusionSales!A41</f>
        <v xml:space="preserve">MUNTECEPSANLI </v>
      </c>
      <c r="B40" t="b">
        <f>ExcusionSales!N41</f>
        <v>0</v>
      </c>
      <c r="C40" s="41">
        <f>IF(ExcusionSales!B41,40,0)</f>
        <v>40</v>
      </c>
      <c r="D40" s="41">
        <f>IF(ExcusionSales!C41,50,0)</f>
        <v>50</v>
      </c>
      <c r="E40" s="41">
        <f>IF(ExcusionSales!D41,60,0)</f>
        <v>60</v>
      </c>
      <c r="F40" s="41">
        <f>IF(ExcusionSales!E41,65,0)</f>
        <v>65</v>
      </c>
      <c r="G40" s="41">
        <f>IF(ExcusionSales!F41,40,0)</f>
        <v>0</v>
      </c>
      <c r="H40" s="41">
        <f>IF(ExcusionSales!G41,60,0)</f>
        <v>60</v>
      </c>
      <c r="I40" s="41">
        <f>IF(ExcusionSales!H41,70,0)</f>
        <v>0</v>
      </c>
      <c r="J40" s="41">
        <f>IF(ExcusionSales!I41,40,0)</f>
        <v>40</v>
      </c>
      <c r="K40" s="41">
        <f>IF(ExcusionSales!J41,100,0)</f>
        <v>100</v>
      </c>
      <c r="L40" s="41">
        <f>IF(ExcusionSales!L41,65,0)</f>
        <v>0</v>
      </c>
      <c r="M40" s="41">
        <v>-25</v>
      </c>
      <c r="N40" s="41">
        <v>0</v>
      </c>
      <c r="O40" s="41">
        <f t="shared" si="0"/>
        <v>415</v>
      </c>
    </row>
    <row r="41" spans="1:15">
      <c r="A41" t="str">
        <f>ExcusionSales!A42</f>
        <v>SABAHATŞANLI</v>
      </c>
      <c r="B41" t="b">
        <f>ExcusionSales!N42</f>
        <v>0</v>
      </c>
      <c r="C41" s="41">
        <f>IF(ExcusionSales!B42,40,0)</f>
        <v>40</v>
      </c>
      <c r="D41" s="41">
        <f>IF(ExcusionSales!C42,50,0)</f>
        <v>0</v>
      </c>
      <c r="E41" s="41">
        <f>IF(ExcusionSales!D42,60,0)</f>
        <v>60</v>
      </c>
      <c r="F41" s="41">
        <f>IF(ExcusionSales!E42,65,0)</f>
        <v>65</v>
      </c>
      <c r="G41" s="41">
        <f>IF(ExcusionSales!F42,40,0)</f>
        <v>0</v>
      </c>
      <c r="H41" s="41">
        <f>IF(ExcusionSales!G42,60,0)</f>
        <v>60</v>
      </c>
      <c r="I41" s="41">
        <f>IF(ExcusionSales!H42,70,0)</f>
        <v>0</v>
      </c>
      <c r="J41" s="41">
        <f>IF(ExcusionSales!I42,40,0)</f>
        <v>40</v>
      </c>
      <c r="K41" s="41">
        <f>IF(ExcusionSales!J42,100,0)</f>
        <v>100</v>
      </c>
      <c r="L41" s="41">
        <f>IF(ExcusionSales!L42,65,0)</f>
        <v>0</v>
      </c>
      <c r="M41" s="41">
        <v>-25</v>
      </c>
      <c r="N41" s="41">
        <v>0</v>
      </c>
      <c r="O41" s="41">
        <f t="shared" si="0"/>
        <v>365</v>
      </c>
    </row>
    <row r="42" spans="1:15">
      <c r="A42" t="str">
        <f>ExcusionSales!A43</f>
        <v>HAYDAR ERCAN  </v>
      </c>
      <c r="B42" t="b">
        <f>ExcusionSales!N43</f>
        <v>0</v>
      </c>
      <c r="C42" s="41">
        <f>IF(ExcusionSales!B43,40,0)</f>
        <v>40</v>
      </c>
      <c r="D42" s="41">
        <f>IF(ExcusionSales!C43,50,0)</f>
        <v>0</v>
      </c>
      <c r="E42" s="41">
        <f>IF(ExcusionSales!D43,60,0)</f>
        <v>60</v>
      </c>
      <c r="F42" s="41">
        <f>IF(ExcusionSales!E43,65,0)</f>
        <v>65</v>
      </c>
      <c r="G42" s="41">
        <f>IF(ExcusionSales!F43,40,0)</f>
        <v>40</v>
      </c>
      <c r="H42" s="41">
        <f>IF(ExcusionSales!G43,60,0)</f>
        <v>60</v>
      </c>
      <c r="I42" s="41">
        <f>IF(ExcusionSales!H43,70,0)</f>
        <v>70</v>
      </c>
      <c r="J42" s="41">
        <f>IF(ExcusionSales!I43,40,0)</f>
        <v>40</v>
      </c>
      <c r="K42" s="41">
        <f>IF(ExcusionSales!J43,100,0)</f>
        <v>100</v>
      </c>
      <c r="L42" s="41">
        <f>IF(ExcusionSales!L43,65,0)</f>
        <v>0</v>
      </c>
      <c r="M42" s="41">
        <v>-25</v>
      </c>
      <c r="N42" s="41">
        <v>0</v>
      </c>
      <c r="O42" s="41">
        <f t="shared" si="0"/>
        <v>475</v>
      </c>
    </row>
    <row r="43" spans="1:15">
      <c r="A43" t="str">
        <f>ExcusionSales!A44</f>
        <v>SİBEL ERCAN  </v>
      </c>
      <c r="B43" t="b">
        <f>ExcusionSales!N44</f>
        <v>0</v>
      </c>
      <c r="C43" s="41">
        <f>IF(ExcusionSales!B44,40,0)</f>
        <v>40</v>
      </c>
      <c r="D43" s="41">
        <f>IF(ExcusionSales!C44,50,0)</f>
        <v>0</v>
      </c>
      <c r="E43" s="41">
        <f>IF(ExcusionSales!D44,60,0)</f>
        <v>60</v>
      </c>
      <c r="F43" s="41">
        <f>IF(ExcusionSales!E44,65,0)</f>
        <v>65</v>
      </c>
      <c r="G43" s="41">
        <f>IF(ExcusionSales!F44,40,0)</f>
        <v>40</v>
      </c>
      <c r="H43" s="41">
        <f>IF(ExcusionSales!G44,60,0)</f>
        <v>60</v>
      </c>
      <c r="I43" s="41">
        <f>IF(ExcusionSales!H44,70,0)</f>
        <v>70</v>
      </c>
      <c r="J43" s="41">
        <f>IF(ExcusionSales!I44,40,0)</f>
        <v>40</v>
      </c>
      <c r="K43" s="41">
        <f>IF(ExcusionSales!J44,100,0)</f>
        <v>100</v>
      </c>
      <c r="L43" s="41">
        <f>IF(ExcusionSales!L44,65,0)</f>
        <v>0</v>
      </c>
      <c r="M43" s="41">
        <v>-25</v>
      </c>
      <c r="N43" s="41">
        <v>0</v>
      </c>
      <c r="O43" s="41">
        <f t="shared" si="0"/>
        <v>475</v>
      </c>
    </row>
    <row r="44" spans="1:15">
      <c r="A44" t="str">
        <f>ExcusionSales!A45</f>
        <v xml:space="preserve">HİLAL SANLI </v>
      </c>
      <c r="B44" t="b">
        <f>ExcusionSales!N45</f>
        <v>0</v>
      </c>
      <c r="C44" s="41">
        <f>IF(ExcusionSales!B45,40,0)</f>
        <v>40</v>
      </c>
      <c r="D44" s="41">
        <f>IF(ExcusionSales!C45,50,0)</f>
        <v>50</v>
      </c>
      <c r="E44" s="41">
        <f>IF(ExcusionSales!D45,60,0)</f>
        <v>60</v>
      </c>
      <c r="F44" s="41">
        <f>IF(ExcusionSales!E45,65,0)</f>
        <v>65</v>
      </c>
      <c r="G44" s="41">
        <f>IF(ExcusionSales!F45,40,0)</f>
        <v>40</v>
      </c>
      <c r="H44" s="41">
        <f>IF(ExcusionSales!G45,60,0)</f>
        <v>60</v>
      </c>
      <c r="I44" s="41">
        <f>IF(ExcusionSales!H45,70,0)</f>
        <v>0</v>
      </c>
      <c r="J44" s="41">
        <f>IF(ExcusionSales!I45,40,0)</f>
        <v>40</v>
      </c>
      <c r="K44" s="41">
        <f>IF(ExcusionSales!J45,100,0)</f>
        <v>100</v>
      </c>
      <c r="L44" s="41">
        <f>IF(ExcusionSales!L45,65,0)</f>
        <v>0</v>
      </c>
      <c r="M44" s="41">
        <v>-25</v>
      </c>
      <c r="N44" s="41">
        <v>0</v>
      </c>
      <c r="O44" s="41">
        <f t="shared" si="0"/>
        <v>455</v>
      </c>
    </row>
    <row r="45" spans="1:15">
      <c r="A45" t="str">
        <f>ExcusionSales!A46</f>
        <v xml:space="preserve">LİNAŞANLI </v>
      </c>
      <c r="B45" t="b">
        <f>ExcusionSales!N46</f>
        <v>0</v>
      </c>
      <c r="C45" s="41">
        <f>IF(ExcusionSales!B46,40,0)</f>
        <v>40</v>
      </c>
      <c r="D45" s="41">
        <f>IF(ExcusionSales!C46,50,0)</f>
        <v>50</v>
      </c>
      <c r="E45" s="41">
        <f>IF(ExcusionSales!D46,60,0)</f>
        <v>60</v>
      </c>
      <c r="F45" s="41">
        <f>IF(ExcusionSales!E46,65,0)</f>
        <v>65</v>
      </c>
      <c r="G45" s="41">
        <f>IF(ExcusionSales!F46,40,0)</f>
        <v>40</v>
      </c>
      <c r="H45" s="41">
        <f>IF(ExcusionSales!G46,60,0)</f>
        <v>60</v>
      </c>
      <c r="I45" s="41">
        <f>IF(ExcusionSales!H46,70,0)</f>
        <v>0</v>
      </c>
      <c r="J45" s="41">
        <f>IF(ExcusionSales!I46,40,0)</f>
        <v>40</v>
      </c>
      <c r="K45" s="41">
        <f>IF(ExcusionSales!J46,100,0)</f>
        <v>100</v>
      </c>
      <c r="L45" s="41">
        <f>IF(ExcusionSales!L46,65,0)</f>
        <v>0</v>
      </c>
      <c r="M45" s="41">
        <v>-25</v>
      </c>
      <c r="N45" s="41">
        <v>0</v>
      </c>
      <c r="O45" s="41">
        <f t="shared" si="0"/>
        <v>455</v>
      </c>
    </row>
    <row r="46" spans="1:15">
      <c r="A46" t="str">
        <f>ExcusionSales!A47</f>
        <v xml:space="preserve">GÜLÇİN  DURMAZ </v>
      </c>
      <c r="B46" t="b">
        <f>ExcusionSales!N47</f>
        <v>0</v>
      </c>
      <c r="C46" s="41">
        <f>IF(ExcusionSales!B47,40,0)</f>
        <v>40</v>
      </c>
      <c r="D46" s="41">
        <f>IF(ExcusionSales!C47,50,0)</f>
        <v>50</v>
      </c>
      <c r="E46" s="41">
        <f>IF(ExcusionSales!D47,60,0)</f>
        <v>60</v>
      </c>
      <c r="F46" s="41">
        <f>IF(ExcusionSales!E47,65,0)</f>
        <v>65</v>
      </c>
      <c r="G46" s="41">
        <f>IF(ExcusionSales!F47,40,0)</f>
        <v>0</v>
      </c>
      <c r="H46" s="41">
        <f>IF(ExcusionSales!G47,60,0)</f>
        <v>60</v>
      </c>
      <c r="I46" s="41">
        <f>IF(ExcusionSales!H47,70,0)</f>
        <v>0</v>
      </c>
      <c r="J46" s="41">
        <f>IF(ExcusionSales!I47,40,0)</f>
        <v>40</v>
      </c>
      <c r="K46" s="41">
        <f>IF(ExcusionSales!J47,100,0)</f>
        <v>100</v>
      </c>
      <c r="L46" s="41">
        <f>IF(ExcusionSales!L47,65,0)</f>
        <v>0</v>
      </c>
      <c r="M46" s="41">
        <v>-25</v>
      </c>
      <c r="N46" s="41">
        <v>0</v>
      </c>
      <c r="O46" s="41">
        <f t="shared" si="0"/>
        <v>415</v>
      </c>
    </row>
    <row r="47" spans="1:15">
      <c r="A47" t="str">
        <f>ExcusionSales!A48</f>
        <v xml:space="preserve">KENAN KAYRA  DAN </v>
      </c>
      <c r="B47" t="b">
        <f>ExcusionSales!N48</f>
        <v>0</v>
      </c>
      <c r="C47" s="41">
        <f>IF(ExcusionSales!B48,40,0)</f>
        <v>40</v>
      </c>
      <c r="D47" s="41">
        <f>IF(ExcusionSales!C48,50,0)</f>
        <v>50</v>
      </c>
      <c r="E47" s="41">
        <f>IF(ExcusionSales!D48,60,0)</f>
        <v>60</v>
      </c>
      <c r="F47" s="41">
        <f>IF(ExcusionSales!E48,65,0)</f>
        <v>65</v>
      </c>
      <c r="G47" s="41">
        <f>IF(ExcusionSales!F48,40,0)</f>
        <v>0</v>
      </c>
      <c r="H47" s="41">
        <f>IF(ExcusionSales!G48,60,0)</f>
        <v>60</v>
      </c>
      <c r="I47" s="41">
        <f>IF(ExcusionSales!H48,70,0)</f>
        <v>0</v>
      </c>
      <c r="J47" s="41">
        <f>IF(ExcusionSales!I48,40,0)</f>
        <v>40</v>
      </c>
      <c r="K47" s="41">
        <f>IF(ExcusionSales!J48,100,0)</f>
        <v>100</v>
      </c>
      <c r="L47" s="41">
        <f>IF(ExcusionSales!L48,65,0)</f>
        <v>0</v>
      </c>
      <c r="M47" s="41">
        <v>-25</v>
      </c>
      <c r="N47" s="41">
        <v>0</v>
      </c>
      <c r="O47" s="41">
        <f t="shared" si="0"/>
        <v>415</v>
      </c>
    </row>
    <row r="48" spans="1:15">
      <c r="A48" t="str">
        <f>ExcusionSales!A49</f>
        <v xml:space="preserve">MERT BUGRA DAN </v>
      </c>
      <c r="B48" t="b">
        <f>ExcusionSales!N49</f>
        <v>0</v>
      </c>
      <c r="C48" s="41">
        <f>IF(ExcusionSales!B49,40,0)</f>
        <v>40</v>
      </c>
      <c r="D48" s="41">
        <f>IF(ExcusionSales!C49,50,0)</f>
        <v>50</v>
      </c>
      <c r="E48" s="41">
        <f>IF(ExcusionSales!D49,60,0)</f>
        <v>60</v>
      </c>
      <c r="F48" s="41">
        <f>IF(ExcusionSales!E49,65,0)</f>
        <v>65</v>
      </c>
      <c r="G48" s="41">
        <f>IF(ExcusionSales!F49,40,0)</f>
        <v>0</v>
      </c>
      <c r="H48" s="41">
        <f>IF(ExcusionSales!G49,60,0)</f>
        <v>60</v>
      </c>
      <c r="I48" s="41">
        <f>IF(ExcusionSales!H49,70,0)</f>
        <v>0</v>
      </c>
      <c r="J48" s="41">
        <f>IF(ExcusionSales!I49,40,0)</f>
        <v>40</v>
      </c>
      <c r="K48" s="41">
        <f>IF(ExcusionSales!J49,100,0)</f>
        <v>100</v>
      </c>
      <c r="L48" s="41">
        <f>IF(ExcusionSales!L49,65,0)</f>
        <v>0</v>
      </c>
      <c r="M48" s="41">
        <v>-25</v>
      </c>
      <c r="N48" s="41">
        <v>-70</v>
      </c>
      <c r="O48" s="41">
        <f t="shared" si="0"/>
        <v>345</v>
      </c>
    </row>
    <row r="49" spans="1:15">
      <c r="A49" s="43" t="str">
        <f>ExcusionSales!A50</f>
        <v>SEDAT ÖZDEMİR</v>
      </c>
      <c r="B49" s="43" t="b">
        <f>ExcusionSales!N50</f>
        <v>0</v>
      </c>
      <c r="C49" s="44">
        <f>IF(ExcusionSales!B50,40,0)</f>
        <v>40</v>
      </c>
      <c r="D49" s="44">
        <f>IF(ExcusionSales!C50,50,0)</f>
        <v>50</v>
      </c>
      <c r="E49" s="44">
        <f>IF(ExcusionSales!D50,60,0)</f>
        <v>60</v>
      </c>
      <c r="F49" s="44">
        <f>IF(ExcusionSales!E50,65,0)</f>
        <v>65</v>
      </c>
      <c r="G49" s="44">
        <f>IF(ExcusionSales!F50,40,0)</f>
        <v>40</v>
      </c>
      <c r="H49" s="44">
        <f>IF(ExcusionSales!G50,60,0)</f>
        <v>60</v>
      </c>
      <c r="I49" s="44">
        <f>IF(ExcusionSales!H50,70,0)</f>
        <v>70</v>
      </c>
      <c r="J49" s="44">
        <f>IF(ExcusionSales!I50,40,0)</f>
        <v>40</v>
      </c>
      <c r="K49" s="44">
        <f>IF(ExcusionSales!J50,100,0)</f>
        <v>100</v>
      </c>
      <c r="L49" s="44">
        <f>IF(ExcusionSales!L50,65,0)</f>
        <v>0</v>
      </c>
      <c r="M49" s="44">
        <v>-25</v>
      </c>
      <c r="N49" s="44">
        <v>0</v>
      </c>
      <c r="O49" s="44">
        <f t="shared" si="0"/>
        <v>525</v>
      </c>
    </row>
    <row r="50" spans="1:15">
      <c r="A50" s="40" t="s">
        <v>143</v>
      </c>
      <c r="B50" s="40"/>
      <c r="C50" s="42">
        <f t="shared" ref="C50:O50" si="1">SUM(C3:C49)</f>
        <v>1520</v>
      </c>
      <c r="D50" s="42">
        <f t="shared" si="1"/>
        <v>1550</v>
      </c>
      <c r="E50" s="42">
        <f t="shared" si="1"/>
        <v>1500</v>
      </c>
      <c r="F50" s="42">
        <f t="shared" si="1"/>
        <v>1235</v>
      </c>
      <c r="G50" s="42">
        <f t="shared" si="1"/>
        <v>1160</v>
      </c>
      <c r="H50" s="42">
        <f t="shared" si="1"/>
        <v>1980</v>
      </c>
      <c r="I50" s="42">
        <f t="shared" si="1"/>
        <v>420</v>
      </c>
      <c r="J50" s="42">
        <f t="shared" si="1"/>
        <v>1120</v>
      </c>
      <c r="K50" s="42">
        <f t="shared" si="1"/>
        <v>2700</v>
      </c>
      <c r="L50" s="42">
        <f t="shared" si="1"/>
        <v>65</v>
      </c>
      <c r="M50" s="42">
        <f t="shared" si="1"/>
        <v>-300</v>
      </c>
      <c r="N50" s="42">
        <f t="shared" si="1"/>
        <v>-120</v>
      </c>
      <c r="O50" s="42">
        <f t="shared" si="1"/>
        <v>13130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ExcusionSales</vt:lpstr>
      <vt:lpstr>BaseServices</vt:lpstr>
      <vt:lpstr>ServicesList</vt:lpstr>
      <vt:lpstr>Oteller</vt:lpstr>
      <vt:lpstr>Track</vt:lpstr>
      <vt:lpstr>Harcamalar</vt:lpstr>
      <vt:lpstr>SatisOzet</vt:lpstr>
      <vt:lpstr>Hesap</vt:lpstr>
      <vt:lpstr>Satislistesi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ersen celebi</dc:creator>
  <cp:lastModifiedBy>ersen celebi</cp:lastModifiedBy>
  <dcterms:created xsi:type="dcterms:W3CDTF">2026-08-01T13:41:48Z</dcterms:created>
  <dcterms:modified xsi:type="dcterms:W3CDTF">2026-08-01T17:04:49Z</dcterms:modified>
</cp:coreProperties>
</file>